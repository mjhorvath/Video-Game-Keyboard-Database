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ideo-Game-Keyboard-Diagrams\scripts_sql\"/>
    </mc:Choice>
  </mc:AlternateContent>
  <xr:revisionPtr revIDLastSave="0" documentId="13_ncr:1_{1266A2E4-BD9A-4B72-8C94-491A8463CEA8}" xr6:coauthVersionLast="46" xr6:coauthVersionMax="46" xr10:uidLastSave="{00000000-0000-0000-0000-000000000000}"/>
  <bookViews>
    <workbookView xWindow="828" yWindow="-108" windowWidth="22320" windowHeight="14616" firstSheet="3" activeTab="8" xr2:uid="{1AAA6CA6-28CE-4FBB-81D6-E6ED50685D87}"/>
  </bookViews>
  <sheets>
    <sheet name="PC.DE105.Inp" sheetId="1" r:id="rId1"/>
    <sheet name="PC.DE105.Out" sheetId="4" r:id="rId2"/>
    <sheet name="PC.TU105.Inp" sheetId="2" r:id="rId3"/>
    <sheet name="PC.TU105.Out" sheetId="3" r:id="rId4"/>
    <sheet name="PC.IT105.Inp" sheetId="5" r:id="rId5"/>
    <sheet name="PC.IT105.Out" sheetId="6" r:id="rId6"/>
    <sheet name="Mac.US109.Inp" sheetId="7" r:id="rId7"/>
    <sheet name="Mac.DE110.Inp" sheetId="8" r:id="rId8"/>
    <sheet name="Mac.DE110.Out" sheetId="9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9" i="6" l="1"/>
  <c r="B118" i="6"/>
  <c r="B117" i="6"/>
  <c r="B116" i="6"/>
  <c r="B115" i="6"/>
  <c r="B114" i="6"/>
  <c r="B113" i="6"/>
  <c r="B112" i="6"/>
  <c r="B111" i="6"/>
  <c r="B110" i="6"/>
  <c r="B109" i="6"/>
  <c r="B108" i="6"/>
  <c r="B119" i="5"/>
  <c r="B118" i="5"/>
  <c r="B117" i="5"/>
  <c r="B116" i="5"/>
  <c r="B115" i="5"/>
  <c r="B114" i="5"/>
  <c r="B113" i="5"/>
  <c r="B112" i="5"/>
  <c r="B111" i="5"/>
  <c r="B110" i="5"/>
  <c r="B109" i="5"/>
  <c r="B108" i="5"/>
  <c r="B119" i="3"/>
  <c r="B118" i="3"/>
  <c r="B117" i="3"/>
  <c r="B116" i="3"/>
  <c r="B115" i="3"/>
  <c r="B114" i="3"/>
  <c r="B113" i="3"/>
  <c r="B112" i="3"/>
  <c r="B111" i="3"/>
  <c r="B110" i="3"/>
  <c r="B109" i="3"/>
  <c r="B108" i="3"/>
  <c r="B119" i="2"/>
  <c r="B118" i="2"/>
  <c r="B117" i="2"/>
  <c r="B116" i="2"/>
  <c r="B115" i="2"/>
  <c r="B114" i="2"/>
  <c r="B113" i="2"/>
  <c r="B112" i="2"/>
  <c r="B111" i="2"/>
  <c r="B110" i="2"/>
  <c r="B109" i="2"/>
  <c r="B108" i="2"/>
  <c r="B119" i="1"/>
  <c r="B118" i="1"/>
  <c r="B117" i="1"/>
  <c r="B116" i="1"/>
  <c r="B115" i="1"/>
  <c r="B114" i="1"/>
  <c r="B113" i="1"/>
  <c r="B112" i="1"/>
  <c r="B111" i="1"/>
  <c r="B110" i="1"/>
  <c r="B109" i="1"/>
  <c r="B108" i="1"/>
  <c r="B119" i="4"/>
  <c r="B118" i="4"/>
  <c r="B117" i="4"/>
  <c r="B116" i="4"/>
  <c r="B115" i="4"/>
  <c r="B114" i="4"/>
  <c r="B113" i="4"/>
  <c r="B112" i="4"/>
  <c r="B111" i="4"/>
  <c r="B110" i="4"/>
  <c r="B109" i="4"/>
  <c r="B108" i="4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C105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C104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C103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C102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C101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C100" i="9"/>
  <c r="O99" i="9"/>
  <c r="N99" i="9"/>
  <c r="M99" i="9"/>
  <c r="L99" i="9"/>
  <c r="K99" i="9"/>
  <c r="J99" i="9"/>
  <c r="I99" i="9"/>
  <c r="H99" i="9"/>
  <c r="G99" i="9"/>
  <c r="F99" i="9"/>
  <c r="E99" i="9"/>
  <c r="D99" i="9"/>
  <c r="C99" i="9"/>
  <c r="O98" i="9"/>
  <c r="N98" i="9"/>
  <c r="M98" i="9"/>
  <c r="L98" i="9"/>
  <c r="K98" i="9"/>
  <c r="J98" i="9"/>
  <c r="I98" i="9"/>
  <c r="H98" i="9"/>
  <c r="G98" i="9"/>
  <c r="F98" i="9"/>
  <c r="E98" i="9"/>
  <c r="D98" i="9"/>
  <c r="C98" i="9"/>
  <c r="O97" i="9"/>
  <c r="N97" i="9"/>
  <c r="M97" i="9"/>
  <c r="L97" i="9"/>
  <c r="K97" i="9"/>
  <c r="J97" i="9"/>
  <c r="I97" i="9"/>
  <c r="H97" i="9"/>
  <c r="G97" i="9"/>
  <c r="F97" i="9"/>
  <c r="E97" i="9"/>
  <c r="D97" i="9"/>
  <c r="C97" i="9"/>
  <c r="O96" i="9"/>
  <c r="N96" i="9"/>
  <c r="M96" i="9"/>
  <c r="L96" i="9"/>
  <c r="K96" i="9"/>
  <c r="J96" i="9"/>
  <c r="I96" i="9"/>
  <c r="H96" i="9"/>
  <c r="G96" i="9"/>
  <c r="F96" i="9"/>
  <c r="E96" i="9"/>
  <c r="D96" i="9"/>
  <c r="C96" i="9"/>
  <c r="O95" i="9"/>
  <c r="N95" i="9"/>
  <c r="M95" i="9"/>
  <c r="L95" i="9"/>
  <c r="K95" i="9"/>
  <c r="J95" i="9"/>
  <c r="I95" i="9"/>
  <c r="H95" i="9"/>
  <c r="G95" i="9"/>
  <c r="F95" i="9"/>
  <c r="E95" i="9"/>
  <c r="D95" i="9"/>
  <c r="C95" i="9"/>
  <c r="O94" i="9"/>
  <c r="N94" i="9"/>
  <c r="M94" i="9"/>
  <c r="L94" i="9"/>
  <c r="K94" i="9"/>
  <c r="J94" i="9"/>
  <c r="I94" i="9"/>
  <c r="H94" i="9"/>
  <c r="G94" i="9"/>
  <c r="F94" i="9"/>
  <c r="E94" i="9"/>
  <c r="D94" i="9"/>
  <c r="C94" i="9"/>
  <c r="O93" i="9"/>
  <c r="N93" i="9"/>
  <c r="M93" i="9"/>
  <c r="L93" i="9"/>
  <c r="K93" i="9"/>
  <c r="J93" i="9"/>
  <c r="I93" i="9"/>
  <c r="H93" i="9"/>
  <c r="G93" i="9"/>
  <c r="F93" i="9"/>
  <c r="E93" i="9"/>
  <c r="D93" i="9"/>
  <c r="C93" i="9"/>
  <c r="O92" i="9"/>
  <c r="N92" i="9"/>
  <c r="M92" i="9"/>
  <c r="L92" i="9"/>
  <c r="K92" i="9"/>
  <c r="J92" i="9"/>
  <c r="I92" i="9"/>
  <c r="H92" i="9"/>
  <c r="G92" i="9"/>
  <c r="F92" i="9"/>
  <c r="E92" i="9"/>
  <c r="D92" i="9"/>
  <c r="C92" i="9"/>
  <c r="O91" i="9"/>
  <c r="N91" i="9"/>
  <c r="M91" i="9"/>
  <c r="L91" i="9"/>
  <c r="K91" i="9"/>
  <c r="J91" i="9"/>
  <c r="I91" i="9"/>
  <c r="H91" i="9"/>
  <c r="G91" i="9"/>
  <c r="F91" i="9"/>
  <c r="E91" i="9"/>
  <c r="D91" i="9"/>
  <c r="C91" i="9"/>
  <c r="O90" i="9"/>
  <c r="N90" i="9"/>
  <c r="M90" i="9"/>
  <c r="L90" i="9"/>
  <c r="K90" i="9"/>
  <c r="J90" i="9"/>
  <c r="I90" i="9"/>
  <c r="H90" i="9"/>
  <c r="G90" i="9"/>
  <c r="F90" i="9"/>
  <c r="E90" i="9"/>
  <c r="D90" i="9"/>
  <c r="C90" i="9"/>
  <c r="O89" i="9"/>
  <c r="N89" i="9"/>
  <c r="M89" i="9"/>
  <c r="L89" i="9"/>
  <c r="K89" i="9"/>
  <c r="J89" i="9"/>
  <c r="I89" i="9"/>
  <c r="H89" i="9"/>
  <c r="G89" i="9"/>
  <c r="F89" i="9"/>
  <c r="E89" i="9"/>
  <c r="D89" i="9"/>
  <c r="C89" i="9"/>
  <c r="O88" i="9"/>
  <c r="N88" i="9"/>
  <c r="M88" i="9"/>
  <c r="L88" i="9"/>
  <c r="K88" i="9"/>
  <c r="J88" i="9"/>
  <c r="I88" i="9"/>
  <c r="H88" i="9"/>
  <c r="G88" i="9"/>
  <c r="F88" i="9"/>
  <c r="E88" i="9"/>
  <c r="D88" i="9"/>
  <c r="C88" i="9"/>
  <c r="O87" i="9"/>
  <c r="N87" i="9"/>
  <c r="M87" i="9"/>
  <c r="L87" i="9"/>
  <c r="K87" i="9"/>
  <c r="J87" i="9"/>
  <c r="I87" i="9"/>
  <c r="H87" i="9"/>
  <c r="G87" i="9"/>
  <c r="F87" i="9"/>
  <c r="E87" i="9"/>
  <c r="D87" i="9"/>
  <c r="C87" i="9"/>
  <c r="O86" i="9"/>
  <c r="N86" i="9"/>
  <c r="M86" i="9"/>
  <c r="L86" i="9"/>
  <c r="K86" i="9"/>
  <c r="J86" i="9"/>
  <c r="I86" i="9"/>
  <c r="H86" i="9"/>
  <c r="G86" i="9"/>
  <c r="F86" i="9"/>
  <c r="E86" i="9"/>
  <c r="D86" i="9"/>
  <c r="C86" i="9"/>
  <c r="O85" i="9"/>
  <c r="N85" i="9"/>
  <c r="M85" i="9"/>
  <c r="L85" i="9"/>
  <c r="K85" i="9"/>
  <c r="J85" i="9"/>
  <c r="I85" i="9"/>
  <c r="H85" i="9"/>
  <c r="G85" i="9"/>
  <c r="F85" i="9"/>
  <c r="E85" i="9"/>
  <c r="D85" i="9"/>
  <c r="C85" i="9"/>
  <c r="O84" i="9"/>
  <c r="N84" i="9"/>
  <c r="M84" i="9"/>
  <c r="L84" i="9"/>
  <c r="K84" i="9"/>
  <c r="J84" i="9"/>
  <c r="I84" i="9"/>
  <c r="H84" i="9"/>
  <c r="G84" i="9"/>
  <c r="F84" i="9"/>
  <c r="E84" i="9"/>
  <c r="D84" i="9"/>
  <c r="C84" i="9"/>
  <c r="O83" i="9"/>
  <c r="N83" i="9"/>
  <c r="M83" i="9"/>
  <c r="L83" i="9"/>
  <c r="K83" i="9"/>
  <c r="J83" i="9"/>
  <c r="I83" i="9"/>
  <c r="H83" i="9"/>
  <c r="G83" i="9"/>
  <c r="F83" i="9"/>
  <c r="E83" i="9"/>
  <c r="D83" i="9"/>
  <c r="C83" i="9"/>
  <c r="O82" i="9"/>
  <c r="N82" i="9"/>
  <c r="M82" i="9"/>
  <c r="L82" i="9"/>
  <c r="K82" i="9"/>
  <c r="J82" i="9"/>
  <c r="I82" i="9"/>
  <c r="H82" i="9"/>
  <c r="G82" i="9"/>
  <c r="F82" i="9"/>
  <c r="E82" i="9"/>
  <c r="D82" i="9"/>
  <c r="C82" i="9"/>
  <c r="O81" i="9"/>
  <c r="N81" i="9"/>
  <c r="M81" i="9"/>
  <c r="L81" i="9"/>
  <c r="K81" i="9"/>
  <c r="J81" i="9"/>
  <c r="I81" i="9"/>
  <c r="H81" i="9"/>
  <c r="G81" i="9"/>
  <c r="F81" i="9"/>
  <c r="E81" i="9"/>
  <c r="D81" i="9"/>
  <c r="C81" i="9"/>
  <c r="O80" i="9"/>
  <c r="N80" i="9"/>
  <c r="M80" i="9"/>
  <c r="L80" i="9"/>
  <c r="K80" i="9"/>
  <c r="J80" i="9"/>
  <c r="I80" i="9"/>
  <c r="H80" i="9"/>
  <c r="G80" i="9"/>
  <c r="F80" i="9"/>
  <c r="E80" i="9"/>
  <c r="D80" i="9"/>
  <c r="C80" i="9"/>
  <c r="O79" i="9"/>
  <c r="N79" i="9"/>
  <c r="M79" i="9"/>
  <c r="L79" i="9"/>
  <c r="K79" i="9"/>
  <c r="J79" i="9"/>
  <c r="I79" i="9"/>
  <c r="H79" i="9"/>
  <c r="G79" i="9"/>
  <c r="F79" i="9"/>
  <c r="E79" i="9"/>
  <c r="D79" i="9"/>
  <c r="C79" i="9"/>
  <c r="O78" i="9"/>
  <c r="N78" i="9"/>
  <c r="M78" i="9"/>
  <c r="L78" i="9"/>
  <c r="K78" i="9"/>
  <c r="J78" i="9"/>
  <c r="I78" i="9"/>
  <c r="H78" i="9"/>
  <c r="G78" i="9"/>
  <c r="F78" i="9"/>
  <c r="E78" i="9"/>
  <c r="D78" i="9"/>
  <c r="C78" i="9"/>
  <c r="O77" i="9"/>
  <c r="N77" i="9"/>
  <c r="M77" i="9"/>
  <c r="L77" i="9"/>
  <c r="K77" i="9"/>
  <c r="J77" i="9"/>
  <c r="I77" i="9"/>
  <c r="H77" i="9"/>
  <c r="G77" i="9"/>
  <c r="F77" i="9"/>
  <c r="E77" i="9"/>
  <c r="D77" i="9"/>
  <c r="C77" i="9"/>
  <c r="O76" i="9"/>
  <c r="N76" i="9"/>
  <c r="M76" i="9"/>
  <c r="L76" i="9"/>
  <c r="K76" i="9"/>
  <c r="J76" i="9"/>
  <c r="I76" i="9"/>
  <c r="H76" i="9"/>
  <c r="G76" i="9"/>
  <c r="F76" i="9"/>
  <c r="E76" i="9"/>
  <c r="D76" i="9"/>
  <c r="C76" i="9"/>
  <c r="O75" i="9"/>
  <c r="N75" i="9"/>
  <c r="M75" i="9"/>
  <c r="L75" i="9"/>
  <c r="K75" i="9"/>
  <c r="J75" i="9"/>
  <c r="I75" i="9"/>
  <c r="H75" i="9"/>
  <c r="G75" i="9"/>
  <c r="F75" i="9"/>
  <c r="E75" i="9"/>
  <c r="D75" i="9"/>
  <c r="C75" i="9"/>
  <c r="O74" i="9"/>
  <c r="N74" i="9"/>
  <c r="M74" i="9"/>
  <c r="L74" i="9"/>
  <c r="K74" i="9"/>
  <c r="J74" i="9"/>
  <c r="I74" i="9"/>
  <c r="H74" i="9"/>
  <c r="G74" i="9"/>
  <c r="F74" i="9"/>
  <c r="E74" i="9"/>
  <c r="D74" i="9"/>
  <c r="C74" i="9"/>
  <c r="O73" i="9"/>
  <c r="N73" i="9"/>
  <c r="M73" i="9"/>
  <c r="L73" i="9"/>
  <c r="K73" i="9"/>
  <c r="J73" i="9"/>
  <c r="I73" i="9"/>
  <c r="H73" i="9"/>
  <c r="G73" i="9"/>
  <c r="F73" i="9"/>
  <c r="E73" i="9"/>
  <c r="D73" i="9"/>
  <c r="C73" i="9"/>
  <c r="O72" i="9"/>
  <c r="N72" i="9"/>
  <c r="M72" i="9"/>
  <c r="L72" i="9"/>
  <c r="K72" i="9"/>
  <c r="J72" i="9"/>
  <c r="I72" i="9"/>
  <c r="H72" i="9"/>
  <c r="G72" i="9"/>
  <c r="F72" i="9"/>
  <c r="E72" i="9"/>
  <c r="D72" i="9"/>
  <c r="C72" i="9"/>
  <c r="O71" i="9"/>
  <c r="N71" i="9"/>
  <c r="M71" i="9"/>
  <c r="L71" i="9"/>
  <c r="K71" i="9"/>
  <c r="J71" i="9"/>
  <c r="I71" i="9"/>
  <c r="H71" i="9"/>
  <c r="G71" i="9"/>
  <c r="F71" i="9"/>
  <c r="E71" i="9"/>
  <c r="D71" i="9"/>
  <c r="C71" i="9"/>
  <c r="O70" i="9"/>
  <c r="N70" i="9"/>
  <c r="M70" i="9"/>
  <c r="L70" i="9"/>
  <c r="K70" i="9"/>
  <c r="J70" i="9"/>
  <c r="I70" i="9"/>
  <c r="H70" i="9"/>
  <c r="G70" i="9"/>
  <c r="F70" i="9"/>
  <c r="E70" i="9"/>
  <c r="D70" i="9"/>
  <c r="C70" i="9"/>
  <c r="O69" i="9"/>
  <c r="N69" i="9"/>
  <c r="M69" i="9"/>
  <c r="L69" i="9"/>
  <c r="K69" i="9"/>
  <c r="J69" i="9"/>
  <c r="I69" i="9"/>
  <c r="H69" i="9"/>
  <c r="G69" i="9"/>
  <c r="F69" i="9"/>
  <c r="E69" i="9"/>
  <c r="D69" i="9"/>
  <c r="C69" i="9"/>
  <c r="O68" i="9"/>
  <c r="N68" i="9"/>
  <c r="M68" i="9"/>
  <c r="L68" i="9"/>
  <c r="K68" i="9"/>
  <c r="J68" i="9"/>
  <c r="I68" i="9"/>
  <c r="H68" i="9"/>
  <c r="G68" i="9"/>
  <c r="F68" i="9"/>
  <c r="E68" i="9"/>
  <c r="D68" i="9"/>
  <c r="C68" i="9"/>
  <c r="O67" i="9"/>
  <c r="N67" i="9"/>
  <c r="M67" i="9"/>
  <c r="L67" i="9"/>
  <c r="K67" i="9"/>
  <c r="J67" i="9"/>
  <c r="I67" i="9"/>
  <c r="H67" i="9"/>
  <c r="G67" i="9"/>
  <c r="F67" i="9"/>
  <c r="E67" i="9"/>
  <c r="D67" i="9"/>
  <c r="C67" i="9"/>
  <c r="O66" i="9"/>
  <c r="N66" i="9"/>
  <c r="M66" i="9"/>
  <c r="L66" i="9"/>
  <c r="K66" i="9"/>
  <c r="J66" i="9"/>
  <c r="I66" i="9"/>
  <c r="H66" i="9"/>
  <c r="G66" i="9"/>
  <c r="F66" i="9"/>
  <c r="E66" i="9"/>
  <c r="D66" i="9"/>
  <c r="C66" i="9"/>
  <c r="O65" i="9"/>
  <c r="N65" i="9"/>
  <c r="M65" i="9"/>
  <c r="L65" i="9"/>
  <c r="K65" i="9"/>
  <c r="J65" i="9"/>
  <c r="I65" i="9"/>
  <c r="H65" i="9"/>
  <c r="G65" i="9"/>
  <c r="F65" i="9"/>
  <c r="E65" i="9"/>
  <c r="D65" i="9"/>
  <c r="C65" i="9"/>
  <c r="O64" i="9"/>
  <c r="N64" i="9"/>
  <c r="M64" i="9"/>
  <c r="L64" i="9"/>
  <c r="K64" i="9"/>
  <c r="J64" i="9"/>
  <c r="I64" i="9"/>
  <c r="H64" i="9"/>
  <c r="G64" i="9"/>
  <c r="F64" i="9"/>
  <c r="E64" i="9"/>
  <c r="D64" i="9"/>
  <c r="C64" i="9"/>
  <c r="O63" i="9"/>
  <c r="N63" i="9"/>
  <c r="M63" i="9"/>
  <c r="L63" i="9"/>
  <c r="K63" i="9"/>
  <c r="J63" i="9"/>
  <c r="I63" i="9"/>
  <c r="H63" i="9"/>
  <c r="G63" i="9"/>
  <c r="F63" i="9"/>
  <c r="E63" i="9"/>
  <c r="D63" i="9"/>
  <c r="C63" i="9"/>
  <c r="O62" i="9"/>
  <c r="N62" i="9"/>
  <c r="M62" i="9"/>
  <c r="L62" i="9"/>
  <c r="K62" i="9"/>
  <c r="J62" i="9"/>
  <c r="I62" i="9"/>
  <c r="H62" i="9"/>
  <c r="G62" i="9"/>
  <c r="F62" i="9"/>
  <c r="E62" i="9"/>
  <c r="D62" i="9"/>
  <c r="C62" i="9"/>
  <c r="O61" i="9"/>
  <c r="N61" i="9"/>
  <c r="M61" i="9"/>
  <c r="L61" i="9"/>
  <c r="K61" i="9"/>
  <c r="J61" i="9"/>
  <c r="I61" i="9"/>
  <c r="H61" i="9"/>
  <c r="G61" i="9"/>
  <c r="F61" i="9"/>
  <c r="E61" i="9"/>
  <c r="D61" i="9"/>
  <c r="C61" i="9"/>
  <c r="O60" i="9"/>
  <c r="N60" i="9"/>
  <c r="M60" i="9"/>
  <c r="L60" i="9"/>
  <c r="K60" i="9"/>
  <c r="J60" i="9"/>
  <c r="I60" i="9"/>
  <c r="H60" i="9"/>
  <c r="G60" i="9"/>
  <c r="F60" i="9"/>
  <c r="E60" i="9"/>
  <c r="D60" i="9"/>
  <c r="C60" i="9"/>
  <c r="O59" i="9"/>
  <c r="N59" i="9"/>
  <c r="M59" i="9"/>
  <c r="L59" i="9"/>
  <c r="K59" i="9"/>
  <c r="J59" i="9"/>
  <c r="I59" i="9"/>
  <c r="H59" i="9"/>
  <c r="G59" i="9"/>
  <c r="F59" i="9"/>
  <c r="E59" i="9"/>
  <c r="D59" i="9"/>
  <c r="C59" i="9"/>
  <c r="O58" i="9"/>
  <c r="N58" i="9"/>
  <c r="M58" i="9"/>
  <c r="L58" i="9"/>
  <c r="K58" i="9"/>
  <c r="J58" i="9"/>
  <c r="I58" i="9"/>
  <c r="H58" i="9"/>
  <c r="G58" i="9"/>
  <c r="F58" i="9"/>
  <c r="E58" i="9"/>
  <c r="D58" i="9"/>
  <c r="C58" i="9"/>
  <c r="O57" i="9"/>
  <c r="N57" i="9"/>
  <c r="M57" i="9"/>
  <c r="L57" i="9"/>
  <c r="K57" i="9"/>
  <c r="J57" i="9"/>
  <c r="I57" i="9"/>
  <c r="H57" i="9"/>
  <c r="G57" i="9"/>
  <c r="F57" i="9"/>
  <c r="E57" i="9"/>
  <c r="D57" i="9"/>
  <c r="C57" i="9"/>
  <c r="O56" i="9"/>
  <c r="N56" i="9"/>
  <c r="M56" i="9"/>
  <c r="L56" i="9"/>
  <c r="K56" i="9"/>
  <c r="J56" i="9"/>
  <c r="I56" i="9"/>
  <c r="H56" i="9"/>
  <c r="G56" i="9"/>
  <c r="F56" i="9"/>
  <c r="E56" i="9"/>
  <c r="D56" i="9"/>
  <c r="C56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O54" i="9"/>
  <c r="N54" i="9"/>
  <c r="M54" i="9"/>
  <c r="L54" i="9"/>
  <c r="K54" i="9"/>
  <c r="J54" i="9"/>
  <c r="I54" i="9"/>
  <c r="H54" i="9"/>
  <c r="G54" i="9"/>
  <c r="F54" i="9"/>
  <c r="E54" i="9"/>
  <c r="D54" i="9"/>
  <c r="C54" i="9"/>
  <c r="O53" i="9"/>
  <c r="N53" i="9"/>
  <c r="M53" i="9"/>
  <c r="L53" i="9"/>
  <c r="K53" i="9"/>
  <c r="J53" i="9"/>
  <c r="I53" i="9"/>
  <c r="H53" i="9"/>
  <c r="G53" i="9"/>
  <c r="F53" i="9"/>
  <c r="E53" i="9"/>
  <c r="D53" i="9"/>
  <c r="C53" i="9"/>
  <c r="O52" i="9"/>
  <c r="N52" i="9"/>
  <c r="M52" i="9"/>
  <c r="L52" i="9"/>
  <c r="K52" i="9"/>
  <c r="J52" i="9"/>
  <c r="I52" i="9"/>
  <c r="H52" i="9"/>
  <c r="G52" i="9"/>
  <c r="F52" i="9"/>
  <c r="E52" i="9"/>
  <c r="D52" i="9"/>
  <c r="C52" i="9"/>
  <c r="O51" i="9"/>
  <c r="N51" i="9"/>
  <c r="M51" i="9"/>
  <c r="L51" i="9"/>
  <c r="K51" i="9"/>
  <c r="J51" i="9"/>
  <c r="I51" i="9"/>
  <c r="H51" i="9"/>
  <c r="G51" i="9"/>
  <c r="F51" i="9"/>
  <c r="E51" i="9"/>
  <c r="D51" i="9"/>
  <c r="C51" i="9"/>
  <c r="O50" i="9"/>
  <c r="N50" i="9"/>
  <c r="M50" i="9"/>
  <c r="L50" i="9"/>
  <c r="K50" i="9"/>
  <c r="J50" i="9"/>
  <c r="I50" i="9"/>
  <c r="H50" i="9"/>
  <c r="G50" i="9"/>
  <c r="F50" i="9"/>
  <c r="E50" i="9"/>
  <c r="D50" i="9"/>
  <c r="C50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O48" i="9"/>
  <c r="N48" i="9"/>
  <c r="M48" i="9"/>
  <c r="L48" i="9"/>
  <c r="K48" i="9"/>
  <c r="J48" i="9"/>
  <c r="I48" i="9"/>
  <c r="H48" i="9"/>
  <c r="G48" i="9"/>
  <c r="F48" i="9"/>
  <c r="E48" i="9"/>
  <c r="D48" i="9"/>
  <c r="C48" i="9"/>
  <c r="O47" i="9"/>
  <c r="N47" i="9"/>
  <c r="M47" i="9"/>
  <c r="L47" i="9"/>
  <c r="K47" i="9"/>
  <c r="J47" i="9"/>
  <c r="I47" i="9"/>
  <c r="H47" i="9"/>
  <c r="G47" i="9"/>
  <c r="F47" i="9"/>
  <c r="E47" i="9"/>
  <c r="D47" i="9"/>
  <c r="C47" i="9"/>
  <c r="O46" i="9"/>
  <c r="N46" i="9"/>
  <c r="M46" i="9"/>
  <c r="L46" i="9"/>
  <c r="K46" i="9"/>
  <c r="J46" i="9"/>
  <c r="I46" i="9"/>
  <c r="H46" i="9"/>
  <c r="G46" i="9"/>
  <c r="F46" i="9"/>
  <c r="E46" i="9"/>
  <c r="D46" i="9"/>
  <c r="C46" i="9"/>
  <c r="O45" i="9"/>
  <c r="N45" i="9"/>
  <c r="M45" i="9"/>
  <c r="L45" i="9"/>
  <c r="K45" i="9"/>
  <c r="J45" i="9"/>
  <c r="I45" i="9"/>
  <c r="H45" i="9"/>
  <c r="G45" i="9"/>
  <c r="F45" i="9"/>
  <c r="E45" i="9"/>
  <c r="D45" i="9"/>
  <c r="C45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O39" i="9"/>
  <c r="N39" i="9"/>
  <c r="M39" i="9"/>
  <c r="L39" i="9"/>
  <c r="K39" i="9"/>
  <c r="J39" i="9"/>
  <c r="I39" i="9"/>
  <c r="H39" i="9"/>
  <c r="G39" i="9"/>
  <c r="F39" i="9"/>
  <c r="E39" i="9"/>
  <c r="D39" i="9"/>
  <c r="C39" i="9"/>
  <c r="O38" i="9"/>
  <c r="N38" i="9"/>
  <c r="M38" i="9"/>
  <c r="L38" i="9"/>
  <c r="K38" i="9"/>
  <c r="J38" i="9"/>
  <c r="I38" i="9"/>
  <c r="H38" i="9"/>
  <c r="G38" i="9"/>
  <c r="F38" i="9"/>
  <c r="E38" i="9"/>
  <c r="D38" i="9"/>
  <c r="C38" i="9"/>
  <c r="O37" i="9"/>
  <c r="N37" i="9"/>
  <c r="M37" i="9"/>
  <c r="L37" i="9"/>
  <c r="K37" i="9"/>
  <c r="J37" i="9"/>
  <c r="I37" i="9"/>
  <c r="H37" i="9"/>
  <c r="G37" i="9"/>
  <c r="F37" i="9"/>
  <c r="E37" i="9"/>
  <c r="D37" i="9"/>
  <c r="C37" i="9"/>
  <c r="O36" i="9"/>
  <c r="N36" i="9"/>
  <c r="M36" i="9"/>
  <c r="L36" i="9"/>
  <c r="K36" i="9"/>
  <c r="J36" i="9"/>
  <c r="I36" i="9"/>
  <c r="H36" i="9"/>
  <c r="G36" i="9"/>
  <c r="F36" i="9"/>
  <c r="E36" i="9"/>
  <c r="D36" i="9"/>
  <c r="C36" i="9"/>
  <c r="O35" i="9"/>
  <c r="N35" i="9"/>
  <c r="M35" i="9"/>
  <c r="L35" i="9"/>
  <c r="K35" i="9"/>
  <c r="J35" i="9"/>
  <c r="I35" i="9"/>
  <c r="H35" i="9"/>
  <c r="G35" i="9"/>
  <c r="F35" i="9"/>
  <c r="E35" i="9"/>
  <c r="D35" i="9"/>
  <c r="C35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O32" i="9"/>
  <c r="N32" i="9"/>
  <c r="M32" i="9"/>
  <c r="L32" i="9"/>
  <c r="K32" i="9"/>
  <c r="J32" i="9"/>
  <c r="I32" i="9"/>
  <c r="H32" i="9"/>
  <c r="G32" i="9"/>
  <c r="F32" i="9"/>
  <c r="E32" i="9"/>
  <c r="D32" i="9"/>
  <c r="C32" i="9"/>
  <c r="O31" i="9"/>
  <c r="N31" i="9"/>
  <c r="M31" i="9"/>
  <c r="L31" i="9"/>
  <c r="K31" i="9"/>
  <c r="J31" i="9"/>
  <c r="I31" i="9"/>
  <c r="H31" i="9"/>
  <c r="G31" i="9"/>
  <c r="F31" i="9"/>
  <c r="E31" i="9"/>
  <c r="D31" i="9"/>
  <c r="C31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O28" i="9"/>
  <c r="N28" i="9"/>
  <c r="M28" i="9"/>
  <c r="L28" i="9"/>
  <c r="K28" i="9"/>
  <c r="J28" i="9"/>
  <c r="I28" i="9"/>
  <c r="H28" i="9"/>
  <c r="G28" i="9"/>
  <c r="F28" i="9"/>
  <c r="E28" i="9"/>
  <c r="D28" i="9"/>
  <c r="C28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O22" i="9"/>
  <c r="N22" i="9"/>
  <c r="M22" i="9"/>
  <c r="L22" i="9"/>
  <c r="K22" i="9"/>
  <c r="J22" i="9"/>
  <c r="I22" i="9"/>
  <c r="H22" i="9"/>
  <c r="G22" i="9"/>
  <c r="F22" i="9"/>
  <c r="E22" i="9"/>
  <c r="D22" i="9"/>
  <c r="C22" i="9"/>
  <c r="O21" i="9"/>
  <c r="N21" i="9"/>
  <c r="M21" i="9"/>
  <c r="L21" i="9"/>
  <c r="K21" i="9"/>
  <c r="J21" i="9"/>
  <c r="I21" i="9"/>
  <c r="H21" i="9"/>
  <c r="G21" i="9"/>
  <c r="F21" i="9"/>
  <c r="E21" i="9"/>
  <c r="D21" i="9"/>
  <c r="C21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O19" i="9"/>
  <c r="N19" i="9"/>
  <c r="M19" i="9"/>
  <c r="L19" i="9"/>
  <c r="K19" i="9"/>
  <c r="J19" i="9"/>
  <c r="I19" i="9"/>
  <c r="H19" i="9"/>
  <c r="G19" i="9"/>
  <c r="F19" i="9"/>
  <c r="E19" i="9"/>
  <c r="D19" i="9"/>
  <c r="C19" i="9"/>
  <c r="O18" i="9"/>
  <c r="N18" i="9"/>
  <c r="M18" i="9"/>
  <c r="L18" i="9"/>
  <c r="K18" i="9"/>
  <c r="J18" i="9"/>
  <c r="I18" i="9"/>
  <c r="H18" i="9"/>
  <c r="G18" i="9"/>
  <c r="F18" i="9"/>
  <c r="E18" i="9"/>
  <c r="D18" i="9"/>
  <c r="C18" i="9"/>
  <c r="O17" i="9"/>
  <c r="N17" i="9"/>
  <c r="M17" i="9"/>
  <c r="L17" i="9"/>
  <c r="K17" i="9"/>
  <c r="J17" i="9"/>
  <c r="I17" i="9"/>
  <c r="H17" i="9"/>
  <c r="G17" i="9"/>
  <c r="F17" i="9"/>
  <c r="E17" i="9"/>
  <c r="D17" i="9"/>
  <c r="C17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O9" i="9"/>
  <c r="N9" i="9"/>
  <c r="M9" i="9"/>
  <c r="L9" i="9"/>
  <c r="K9" i="9"/>
  <c r="J9" i="9"/>
  <c r="I9" i="9"/>
  <c r="H9" i="9"/>
  <c r="G9" i="9"/>
  <c r="F9" i="9"/>
  <c r="E9" i="9"/>
  <c r="D9" i="9"/>
  <c r="C9" i="9"/>
  <c r="O8" i="9"/>
  <c r="N8" i="9"/>
  <c r="M8" i="9"/>
  <c r="L8" i="9"/>
  <c r="K8" i="9"/>
  <c r="J8" i="9"/>
  <c r="I8" i="9"/>
  <c r="H8" i="9"/>
  <c r="G8" i="9"/>
  <c r="F8" i="9"/>
  <c r="E8" i="9"/>
  <c r="D8" i="9"/>
  <c r="C8" i="9"/>
  <c r="O7" i="9"/>
  <c r="N7" i="9"/>
  <c r="M7" i="9"/>
  <c r="L7" i="9"/>
  <c r="K7" i="9"/>
  <c r="J7" i="9"/>
  <c r="I7" i="9"/>
  <c r="H7" i="9"/>
  <c r="G7" i="9"/>
  <c r="F7" i="9"/>
  <c r="E7" i="9"/>
  <c r="D7" i="9"/>
  <c r="C7" i="9"/>
  <c r="O6" i="9"/>
  <c r="N6" i="9"/>
  <c r="M6" i="9"/>
  <c r="L6" i="9"/>
  <c r="K6" i="9"/>
  <c r="J6" i="9"/>
  <c r="I6" i="9"/>
  <c r="H6" i="9"/>
  <c r="G6" i="9"/>
  <c r="F6" i="9"/>
  <c r="E6" i="9"/>
  <c r="D6" i="9"/>
  <c r="C6" i="9"/>
  <c r="O5" i="9"/>
  <c r="N5" i="9"/>
  <c r="M5" i="9"/>
  <c r="L5" i="9"/>
  <c r="K5" i="9"/>
  <c r="J5" i="9"/>
  <c r="I5" i="9"/>
  <c r="H5" i="9"/>
  <c r="G5" i="9"/>
  <c r="F5" i="9"/>
  <c r="E5" i="9"/>
  <c r="D5" i="9"/>
  <c r="C5" i="9"/>
  <c r="O4" i="9"/>
  <c r="N4" i="9"/>
  <c r="M4" i="9"/>
  <c r="L4" i="9"/>
  <c r="K4" i="9"/>
  <c r="J4" i="9"/>
  <c r="I4" i="9"/>
  <c r="H4" i="9"/>
  <c r="G4" i="9"/>
  <c r="F4" i="9"/>
  <c r="E4" i="9"/>
  <c r="D4" i="9"/>
  <c r="C4" i="9"/>
  <c r="O3" i="9"/>
  <c r="N3" i="9"/>
  <c r="M3" i="9"/>
  <c r="L3" i="9"/>
  <c r="K3" i="9"/>
  <c r="J3" i="9"/>
  <c r="I3" i="9"/>
  <c r="H3" i="9"/>
  <c r="G3" i="9"/>
  <c r="F3" i="9"/>
  <c r="E3" i="9"/>
  <c r="D3" i="9"/>
  <c r="C3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O2" i="9"/>
  <c r="N2" i="9"/>
  <c r="M2" i="9"/>
  <c r="L2" i="9"/>
  <c r="K2" i="9"/>
  <c r="J2" i="9"/>
  <c r="I2" i="9"/>
  <c r="H2" i="9"/>
  <c r="G2" i="9"/>
  <c r="F2" i="9"/>
  <c r="E2" i="9"/>
  <c r="D2" i="9"/>
  <c r="C2" i="9"/>
  <c r="P29" i="6"/>
  <c r="P2" i="3"/>
  <c r="N27" i="6"/>
  <c r="O107" i="6"/>
  <c r="N107" i="6"/>
  <c r="M107" i="6"/>
  <c r="L107" i="6"/>
  <c r="K107" i="6"/>
  <c r="J107" i="6"/>
  <c r="I107" i="6"/>
  <c r="H107" i="6"/>
  <c r="G107" i="6"/>
  <c r="F107" i="6"/>
  <c r="D107" i="6"/>
  <c r="C107" i="6"/>
  <c r="O106" i="6"/>
  <c r="N106" i="6"/>
  <c r="M106" i="6"/>
  <c r="L106" i="6"/>
  <c r="K106" i="6"/>
  <c r="J106" i="6"/>
  <c r="I106" i="6"/>
  <c r="H106" i="6"/>
  <c r="G106" i="6"/>
  <c r="F106" i="6"/>
  <c r="D106" i="6"/>
  <c r="C106" i="6"/>
  <c r="O105" i="6"/>
  <c r="N105" i="6"/>
  <c r="M105" i="6"/>
  <c r="L105" i="6"/>
  <c r="K105" i="6"/>
  <c r="J105" i="6"/>
  <c r="I105" i="6"/>
  <c r="H105" i="6"/>
  <c r="G105" i="6"/>
  <c r="F105" i="6"/>
  <c r="D105" i="6"/>
  <c r="C105" i="6"/>
  <c r="O104" i="6"/>
  <c r="N104" i="6"/>
  <c r="M104" i="6"/>
  <c r="L104" i="6"/>
  <c r="K104" i="6"/>
  <c r="J104" i="6"/>
  <c r="I104" i="6"/>
  <c r="H104" i="6"/>
  <c r="G104" i="6"/>
  <c r="F104" i="6"/>
  <c r="D104" i="6"/>
  <c r="C104" i="6"/>
  <c r="O103" i="6"/>
  <c r="N103" i="6"/>
  <c r="M103" i="6"/>
  <c r="L103" i="6"/>
  <c r="K103" i="6"/>
  <c r="J103" i="6"/>
  <c r="I103" i="6"/>
  <c r="H103" i="6"/>
  <c r="G103" i="6"/>
  <c r="F103" i="6"/>
  <c r="D103" i="6"/>
  <c r="C103" i="6"/>
  <c r="O102" i="6"/>
  <c r="N102" i="6"/>
  <c r="M102" i="6"/>
  <c r="L102" i="6"/>
  <c r="K102" i="6"/>
  <c r="J102" i="6"/>
  <c r="I102" i="6"/>
  <c r="H102" i="6"/>
  <c r="G102" i="6"/>
  <c r="F102" i="6"/>
  <c r="D102" i="6"/>
  <c r="C102" i="6"/>
  <c r="O101" i="6"/>
  <c r="N101" i="6"/>
  <c r="M101" i="6"/>
  <c r="L101" i="6"/>
  <c r="K101" i="6"/>
  <c r="J101" i="6"/>
  <c r="I101" i="6"/>
  <c r="H101" i="6"/>
  <c r="G101" i="6"/>
  <c r="F101" i="6"/>
  <c r="D101" i="6"/>
  <c r="C101" i="6"/>
  <c r="O100" i="6"/>
  <c r="N100" i="6"/>
  <c r="M100" i="6"/>
  <c r="L100" i="6"/>
  <c r="K100" i="6"/>
  <c r="J100" i="6"/>
  <c r="I100" i="6"/>
  <c r="H100" i="6"/>
  <c r="G100" i="6"/>
  <c r="F100" i="6"/>
  <c r="D100" i="6"/>
  <c r="C100" i="6"/>
  <c r="O99" i="6"/>
  <c r="N99" i="6"/>
  <c r="M99" i="6"/>
  <c r="L99" i="6"/>
  <c r="K99" i="6"/>
  <c r="J99" i="6"/>
  <c r="I99" i="6"/>
  <c r="H99" i="6"/>
  <c r="G99" i="6"/>
  <c r="F99" i="6"/>
  <c r="D99" i="6"/>
  <c r="C99" i="6"/>
  <c r="O98" i="6"/>
  <c r="N98" i="6"/>
  <c r="M98" i="6"/>
  <c r="L98" i="6"/>
  <c r="K98" i="6"/>
  <c r="J98" i="6"/>
  <c r="I98" i="6"/>
  <c r="H98" i="6"/>
  <c r="G98" i="6"/>
  <c r="F98" i="6"/>
  <c r="D98" i="6"/>
  <c r="C98" i="6"/>
  <c r="O97" i="6"/>
  <c r="N97" i="6"/>
  <c r="M97" i="6"/>
  <c r="L97" i="6"/>
  <c r="K97" i="6"/>
  <c r="J97" i="6"/>
  <c r="I97" i="6"/>
  <c r="H97" i="6"/>
  <c r="G97" i="6"/>
  <c r="F97" i="6"/>
  <c r="D97" i="6"/>
  <c r="C97" i="6"/>
  <c r="O96" i="6"/>
  <c r="N96" i="6"/>
  <c r="M96" i="6"/>
  <c r="L96" i="6"/>
  <c r="K96" i="6"/>
  <c r="J96" i="6"/>
  <c r="I96" i="6"/>
  <c r="H96" i="6"/>
  <c r="G96" i="6"/>
  <c r="F96" i="6"/>
  <c r="D96" i="6"/>
  <c r="C96" i="6"/>
  <c r="O95" i="6"/>
  <c r="N95" i="6"/>
  <c r="M95" i="6"/>
  <c r="L95" i="6"/>
  <c r="K95" i="6"/>
  <c r="J95" i="6"/>
  <c r="I95" i="6"/>
  <c r="H95" i="6"/>
  <c r="G95" i="6"/>
  <c r="F95" i="6"/>
  <c r="D95" i="6"/>
  <c r="C95" i="6"/>
  <c r="O94" i="6"/>
  <c r="N94" i="6"/>
  <c r="M94" i="6"/>
  <c r="L94" i="6"/>
  <c r="K94" i="6"/>
  <c r="J94" i="6"/>
  <c r="I94" i="6"/>
  <c r="H94" i="6"/>
  <c r="G94" i="6"/>
  <c r="F94" i="6"/>
  <c r="D94" i="6"/>
  <c r="C94" i="6"/>
  <c r="O93" i="6"/>
  <c r="N93" i="6"/>
  <c r="M93" i="6"/>
  <c r="L93" i="6"/>
  <c r="K93" i="6"/>
  <c r="J93" i="6"/>
  <c r="I93" i="6"/>
  <c r="H93" i="6"/>
  <c r="G93" i="6"/>
  <c r="F93" i="6"/>
  <c r="D93" i="6"/>
  <c r="C93" i="6"/>
  <c r="O92" i="6"/>
  <c r="N92" i="6"/>
  <c r="M92" i="6"/>
  <c r="L92" i="6"/>
  <c r="K92" i="6"/>
  <c r="J92" i="6"/>
  <c r="I92" i="6"/>
  <c r="H92" i="6"/>
  <c r="G92" i="6"/>
  <c r="F92" i="6"/>
  <c r="D92" i="6"/>
  <c r="C92" i="6"/>
  <c r="O91" i="6"/>
  <c r="N91" i="6"/>
  <c r="M91" i="6"/>
  <c r="L91" i="6"/>
  <c r="K91" i="6"/>
  <c r="J91" i="6"/>
  <c r="I91" i="6"/>
  <c r="H91" i="6"/>
  <c r="G91" i="6"/>
  <c r="F91" i="6"/>
  <c r="D91" i="6"/>
  <c r="C91" i="6"/>
  <c r="O90" i="6"/>
  <c r="N90" i="6"/>
  <c r="M90" i="6"/>
  <c r="L90" i="6"/>
  <c r="K90" i="6"/>
  <c r="J90" i="6"/>
  <c r="I90" i="6"/>
  <c r="H90" i="6"/>
  <c r="G90" i="6"/>
  <c r="F90" i="6"/>
  <c r="D90" i="6"/>
  <c r="C90" i="6"/>
  <c r="O89" i="6"/>
  <c r="N89" i="6"/>
  <c r="M89" i="6"/>
  <c r="L89" i="6"/>
  <c r="K89" i="6"/>
  <c r="J89" i="6"/>
  <c r="I89" i="6"/>
  <c r="H89" i="6"/>
  <c r="G89" i="6"/>
  <c r="F89" i="6"/>
  <c r="D89" i="6"/>
  <c r="C89" i="6"/>
  <c r="O88" i="6"/>
  <c r="N88" i="6"/>
  <c r="M88" i="6"/>
  <c r="L88" i="6"/>
  <c r="K88" i="6"/>
  <c r="J88" i="6"/>
  <c r="I88" i="6"/>
  <c r="H88" i="6"/>
  <c r="G88" i="6"/>
  <c r="F88" i="6"/>
  <c r="D88" i="6"/>
  <c r="C88" i="6"/>
  <c r="O87" i="6"/>
  <c r="N87" i="6"/>
  <c r="M87" i="6"/>
  <c r="L87" i="6"/>
  <c r="K87" i="6"/>
  <c r="J87" i="6"/>
  <c r="I87" i="6"/>
  <c r="H87" i="6"/>
  <c r="G87" i="6"/>
  <c r="F87" i="6"/>
  <c r="D87" i="6"/>
  <c r="C87" i="6"/>
  <c r="O86" i="6"/>
  <c r="N86" i="6"/>
  <c r="M86" i="6"/>
  <c r="L86" i="6"/>
  <c r="K86" i="6"/>
  <c r="J86" i="6"/>
  <c r="I86" i="6"/>
  <c r="H86" i="6"/>
  <c r="G86" i="6"/>
  <c r="F86" i="6"/>
  <c r="D86" i="6"/>
  <c r="C86" i="6"/>
  <c r="O85" i="6"/>
  <c r="N85" i="6"/>
  <c r="M85" i="6"/>
  <c r="L85" i="6"/>
  <c r="K85" i="6"/>
  <c r="J85" i="6"/>
  <c r="I85" i="6"/>
  <c r="H85" i="6"/>
  <c r="G85" i="6"/>
  <c r="F85" i="6"/>
  <c r="D85" i="6"/>
  <c r="C85" i="6"/>
  <c r="O84" i="6"/>
  <c r="N84" i="6"/>
  <c r="M84" i="6"/>
  <c r="L84" i="6"/>
  <c r="K84" i="6"/>
  <c r="J84" i="6"/>
  <c r="I84" i="6"/>
  <c r="H84" i="6"/>
  <c r="G84" i="6"/>
  <c r="F84" i="6"/>
  <c r="D84" i="6"/>
  <c r="C84" i="6"/>
  <c r="O83" i="6"/>
  <c r="N83" i="6"/>
  <c r="M83" i="6"/>
  <c r="L83" i="6"/>
  <c r="K83" i="6"/>
  <c r="J83" i="6"/>
  <c r="I83" i="6"/>
  <c r="H83" i="6"/>
  <c r="G83" i="6"/>
  <c r="F83" i="6"/>
  <c r="D83" i="6"/>
  <c r="C83" i="6"/>
  <c r="O82" i="6"/>
  <c r="N82" i="6"/>
  <c r="M82" i="6"/>
  <c r="L82" i="6"/>
  <c r="K82" i="6"/>
  <c r="J82" i="6"/>
  <c r="I82" i="6"/>
  <c r="H82" i="6"/>
  <c r="G82" i="6"/>
  <c r="F82" i="6"/>
  <c r="D82" i="6"/>
  <c r="C82" i="6"/>
  <c r="O81" i="6"/>
  <c r="N81" i="6"/>
  <c r="M81" i="6"/>
  <c r="L81" i="6"/>
  <c r="K81" i="6"/>
  <c r="J81" i="6"/>
  <c r="I81" i="6"/>
  <c r="H81" i="6"/>
  <c r="G81" i="6"/>
  <c r="F81" i="6"/>
  <c r="D81" i="6"/>
  <c r="C81" i="6"/>
  <c r="O80" i="6"/>
  <c r="N80" i="6"/>
  <c r="M80" i="6"/>
  <c r="L80" i="6"/>
  <c r="K80" i="6"/>
  <c r="J80" i="6"/>
  <c r="I80" i="6"/>
  <c r="H80" i="6"/>
  <c r="G80" i="6"/>
  <c r="F80" i="6"/>
  <c r="D80" i="6"/>
  <c r="C80" i="6"/>
  <c r="O79" i="6"/>
  <c r="N79" i="6"/>
  <c r="M79" i="6"/>
  <c r="L79" i="6"/>
  <c r="K79" i="6"/>
  <c r="J79" i="6"/>
  <c r="I79" i="6"/>
  <c r="H79" i="6"/>
  <c r="G79" i="6"/>
  <c r="F79" i="6"/>
  <c r="D79" i="6"/>
  <c r="C79" i="6"/>
  <c r="O78" i="6"/>
  <c r="N78" i="6"/>
  <c r="M78" i="6"/>
  <c r="L78" i="6"/>
  <c r="K78" i="6"/>
  <c r="J78" i="6"/>
  <c r="I78" i="6"/>
  <c r="H78" i="6"/>
  <c r="G78" i="6"/>
  <c r="F78" i="6"/>
  <c r="D78" i="6"/>
  <c r="C78" i="6"/>
  <c r="O77" i="6"/>
  <c r="N77" i="6"/>
  <c r="M77" i="6"/>
  <c r="L77" i="6"/>
  <c r="K77" i="6"/>
  <c r="J77" i="6"/>
  <c r="I77" i="6"/>
  <c r="H77" i="6"/>
  <c r="G77" i="6"/>
  <c r="F77" i="6"/>
  <c r="D77" i="6"/>
  <c r="C77" i="6"/>
  <c r="O76" i="6"/>
  <c r="N76" i="6"/>
  <c r="M76" i="6"/>
  <c r="L76" i="6"/>
  <c r="K76" i="6"/>
  <c r="J76" i="6"/>
  <c r="I76" i="6"/>
  <c r="H76" i="6"/>
  <c r="G76" i="6"/>
  <c r="F76" i="6"/>
  <c r="D76" i="6"/>
  <c r="C76" i="6"/>
  <c r="O75" i="6"/>
  <c r="N75" i="6"/>
  <c r="M75" i="6"/>
  <c r="L75" i="6"/>
  <c r="K75" i="6"/>
  <c r="J75" i="6"/>
  <c r="I75" i="6"/>
  <c r="H75" i="6"/>
  <c r="G75" i="6"/>
  <c r="F75" i="6"/>
  <c r="D75" i="6"/>
  <c r="C75" i="6"/>
  <c r="O74" i="6"/>
  <c r="N74" i="6"/>
  <c r="M74" i="6"/>
  <c r="L74" i="6"/>
  <c r="K74" i="6"/>
  <c r="J74" i="6"/>
  <c r="I74" i="6"/>
  <c r="H74" i="6"/>
  <c r="G74" i="6"/>
  <c r="F74" i="6"/>
  <c r="D74" i="6"/>
  <c r="C74" i="6"/>
  <c r="O73" i="6"/>
  <c r="N73" i="6"/>
  <c r="M73" i="6"/>
  <c r="L73" i="6"/>
  <c r="K73" i="6"/>
  <c r="J73" i="6"/>
  <c r="I73" i="6"/>
  <c r="H73" i="6"/>
  <c r="G73" i="6"/>
  <c r="F73" i="6"/>
  <c r="D73" i="6"/>
  <c r="C73" i="6"/>
  <c r="O72" i="6"/>
  <c r="N72" i="6"/>
  <c r="M72" i="6"/>
  <c r="L72" i="6"/>
  <c r="K72" i="6"/>
  <c r="J72" i="6"/>
  <c r="I72" i="6"/>
  <c r="H72" i="6"/>
  <c r="G72" i="6"/>
  <c r="F72" i="6"/>
  <c r="D72" i="6"/>
  <c r="C72" i="6"/>
  <c r="O71" i="6"/>
  <c r="N71" i="6"/>
  <c r="M71" i="6"/>
  <c r="L71" i="6"/>
  <c r="K71" i="6"/>
  <c r="J71" i="6"/>
  <c r="I71" i="6"/>
  <c r="H71" i="6"/>
  <c r="G71" i="6"/>
  <c r="F71" i="6"/>
  <c r="D71" i="6"/>
  <c r="C71" i="6"/>
  <c r="O70" i="6"/>
  <c r="N70" i="6"/>
  <c r="M70" i="6"/>
  <c r="L70" i="6"/>
  <c r="K70" i="6"/>
  <c r="J70" i="6"/>
  <c r="I70" i="6"/>
  <c r="H70" i="6"/>
  <c r="G70" i="6"/>
  <c r="F70" i="6"/>
  <c r="D70" i="6"/>
  <c r="C70" i="6"/>
  <c r="O69" i="6"/>
  <c r="N69" i="6"/>
  <c r="M69" i="6"/>
  <c r="L69" i="6"/>
  <c r="K69" i="6"/>
  <c r="J69" i="6"/>
  <c r="I69" i="6"/>
  <c r="H69" i="6"/>
  <c r="G69" i="6"/>
  <c r="F69" i="6"/>
  <c r="D69" i="6"/>
  <c r="C69" i="6"/>
  <c r="O68" i="6"/>
  <c r="N68" i="6"/>
  <c r="M68" i="6"/>
  <c r="L68" i="6"/>
  <c r="K68" i="6"/>
  <c r="J68" i="6"/>
  <c r="I68" i="6"/>
  <c r="H68" i="6"/>
  <c r="G68" i="6"/>
  <c r="F68" i="6"/>
  <c r="D68" i="6"/>
  <c r="C68" i="6"/>
  <c r="O67" i="6"/>
  <c r="N67" i="6"/>
  <c r="M67" i="6"/>
  <c r="L67" i="6"/>
  <c r="K67" i="6"/>
  <c r="J67" i="6"/>
  <c r="I67" i="6"/>
  <c r="H67" i="6"/>
  <c r="G67" i="6"/>
  <c r="F67" i="6"/>
  <c r="D67" i="6"/>
  <c r="C67" i="6"/>
  <c r="O66" i="6"/>
  <c r="N66" i="6"/>
  <c r="M66" i="6"/>
  <c r="L66" i="6"/>
  <c r="K66" i="6"/>
  <c r="J66" i="6"/>
  <c r="I66" i="6"/>
  <c r="H66" i="6"/>
  <c r="G66" i="6"/>
  <c r="F66" i="6"/>
  <c r="D66" i="6"/>
  <c r="C66" i="6"/>
  <c r="O65" i="6"/>
  <c r="N65" i="6"/>
  <c r="M65" i="6"/>
  <c r="L65" i="6"/>
  <c r="K65" i="6"/>
  <c r="J65" i="6"/>
  <c r="I65" i="6"/>
  <c r="H65" i="6"/>
  <c r="G65" i="6"/>
  <c r="F65" i="6"/>
  <c r="D65" i="6"/>
  <c r="C65" i="6"/>
  <c r="O64" i="6"/>
  <c r="N64" i="6"/>
  <c r="M64" i="6"/>
  <c r="L64" i="6"/>
  <c r="K64" i="6"/>
  <c r="J64" i="6"/>
  <c r="I64" i="6"/>
  <c r="H64" i="6"/>
  <c r="G64" i="6"/>
  <c r="F64" i="6"/>
  <c r="D64" i="6"/>
  <c r="C64" i="6"/>
  <c r="O63" i="6"/>
  <c r="N63" i="6"/>
  <c r="M63" i="6"/>
  <c r="L63" i="6"/>
  <c r="K63" i="6"/>
  <c r="J63" i="6"/>
  <c r="I63" i="6"/>
  <c r="H63" i="6"/>
  <c r="G63" i="6"/>
  <c r="F63" i="6"/>
  <c r="D63" i="6"/>
  <c r="C63" i="6"/>
  <c r="O62" i="6"/>
  <c r="N62" i="6"/>
  <c r="M62" i="6"/>
  <c r="L62" i="6"/>
  <c r="K62" i="6"/>
  <c r="J62" i="6"/>
  <c r="I62" i="6"/>
  <c r="H62" i="6"/>
  <c r="G62" i="6"/>
  <c r="F62" i="6"/>
  <c r="D62" i="6"/>
  <c r="C62" i="6"/>
  <c r="O61" i="6"/>
  <c r="N61" i="6"/>
  <c r="M61" i="6"/>
  <c r="L61" i="6"/>
  <c r="K61" i="6"/>
  <c r="J61" i="6"/>
  <c r="I61" i="6"/>
  <c r="H61" i="6"/>
  <c r="G61" i="6"/>
  <c r="F61" i="6"/>
  <c r="D61" i="6"/>
  <c r="C61" i="6"/>
  <c r="O60" i="6"/>
  <c r="N60" i="6"/>
  <c r="M60" i="6"/>
  <c r="L60" i="6"/>
  <c r="K60" i="6"/>
  <c r="J60" i="6"/>
  <c r="I60" i="6"/>
  <c r="H60" i="6"/>
  <c r="G60" i="6"/>
  <c r="F60" i="6"/>
  <c r="D60" i="6"/>
  <c r="C60" i="6"/>
  <c r="O59" i="6"/>
  <c r="N59" i="6"/>
  <c r="M59" i="6"/>
  <c r="L59" i="6"/>
  <c r="K59" i="6"/>
  <c r="J59" i="6"/>
  <c r="I59" i="6"/>
  <c r="H59" i="6"/>
  <c r="G59" i="6"/>
  <c r="F59" i="6"/>
  <c r="D59" i="6"/>
  <c r="C59" i="6"/>
  <c r="O58" i="6"/>
  <c r="N58" i="6"/>
  <c r="M58" i="6"/>
  <c r="L58" i="6"/>
  <c r="K58" i="6"/>
  <c r="J58" i="6"/>
  <c r="I58" i="6"/>
  <c r="H58" i="6"/>
  <c r="G58" i="6"/>
  <c r="F58" i="6"/>
  <c r="D58" i="6"/>
  <c r="C58" i="6"/>
  <c r="O57" i="6"/>
  <c r="N57" i="6"/>
  <c r="M57" i="6"/>
  <c r="L57" i="6"/>
  <c r="K57" i="6"/>
  <c r="J57" i="6"/>
  <c r="I57" i="6"/>
  <c r="H57" i="6"/>
  <c r="G57" i="6"/>
  <c r="F57" i="6"/>
  <c r="D57" i="6"/>
  <c r="C57" i="6"/>
  <c r="O56" i="6"/>
  <c r="N56" i="6"/>
  <c r="M56" i="6"/>
  <c r="L56" i="6"/>
  <c r="K56" i="6"/>
  <c r="J56" i="6"/>
  <c r="I56" i="6"/>
  <c r="H56" i="6"/>
  <c r="G56" i="6"/>
  <c r="F56" i="6"/>
  <c r="D56" i="6"/>
  <c r="C56" i="6"/>
  <c r="O55" i="6"/>
  <c r="N55" i="6"/>
  <c r="M55" i="6"/>
  <c r="L55" i="6"/>
  <c r="K55" i="6"/>
  <c r="J55" i="6"/>
  <c r="I55" i="6"/>
  <c r="H55" i="6"/>
  <c r="G55" i="6"/>
  <c r="F55" i="6"/>
  <c r="D55" i="6"/>
  <c r="C55" i="6"/>
  <c r="O54" i="6"/>
  <c r="N54" i="6"/>
  <c r="M54" i="6"/>
  <c r="L54" i="6"/>
  <c r="K54" i="6"/>
  <c r="J54" i="6"/>
  <c r="I54" i="6"/>
  <c r="H54" i="6"/>
  <c r="G54" i="6"/>
  <c r="F54" i="6"/>
  <c r="D54" i="6"/>
  <c r="C54" i="6"/>
  <c r="O53" i="6"/>
  <c r="N53" i="6"/>
  <c r="M53" i="6"/>
  <c r="L53" i="6"/>
  <c r="K53" i="6"/>
  <c r="J53" i="6"/>
  <c r="I53" i="6"/>
  <c r="H53" i="6"/>
  <c r="G53" i="6"/>
  <c r="F53" i="6"/>
  <c r="D53" i="6"/>
  <c r="C53" i="6"/>
  <c r="O52" i="6"/>
  <c r="N52" i="6"/>
  <c r="M52" i="6"/>
  <c r="L52" i="6"/>
  <c r="K52" i="6"/>
  <c r="J52" i="6"/>
  <c r="I52" i="6"/>
  <c r="H52" i="6"/>
  <c r="G52" i="6"/>
  <c r="F52" i="6"/>
  <c r="D52" i="6"/>
  <c r="C52" i="6"/>
  <c r="O51" i="6"/>
  <c r="N51" i="6"/>
  <c r="M51" i="6"/>
  <c r="L51" i="6"/>
  <c r="K51" i="6"/>
  <c r="J51" i="6"/>
  <c r="I51" i="6"/>
  <c r="H51" i="6"/>
  <c r="G51" i="6"/>
  <c r="F51" i="6"/>
  <c r="D51" i="6"/>
  <c r="C51" i="6"/>
  <c r="O50" i="6"/>
  <c r="N50" i="6"/>
  <c r="M50" i="6"/>
  <c r="L50" i="6"/>
  <c r="K50" i="6"/>
  <c r="J50" i="6"/>
  <c r="I50" i="6"/>
  <c r="H50" i="6"/>
  <c r="G50" i="6"/>
  <c r="F50" i="6"/>
  <c r="D50" i="6"/>
  <c r="C50" i="6"/>
  <c r="O49" i="6"/>
  <c r="N49" i="6"/>
  <c r="M49" i="6"/>
  <c r="L49" i="6"/>
  <c r="K49" i="6"/>
  <c r="J49" i="6"/>
  <c r="I49" i="6"/>
  <c r="H49" i="6"/>
  <c r="G49" i="6"/>
  <c r="F49" i="6"/>
  <c r="D49" i="6"/>
  <c r="C49" i="6"/>
  <c r="O48" i="6"/>
  <c r="N48" i="6"/>
  <c r="M48" i="6"/>
  <c r="L48" i="6"/>
  <c r="K48" i="6"/>
  <c r="J48" i="6"/>
  <c r="I48" i="6"/>
  <c r="H48" i="6"/>
  <c r="G48" i="6"/>
  <c r="F48" i="6"/>
  <c r="D48" i="6"/>
  <c r="C48" i="6"/>
  <c r="O47" i="6"/>
  <c r="N47" i="6"/>
  <c r="M47" i="6"/>
  <c r="L47" i="6"/>
  <c r="K47" i="6"/>
  <c r="J47" i="6"/>
  <c r="I47" i="6"/>
  <c r="H47" i="6"/>
  <c r="G47" i="6"/>
  <c r="F47" i="6"/>
  <c r="D47" i="6"/>
  <c r="C47" i="6"/>
  <c r="O46" i="6"/>
  <c r="N46" i="6"/>
  <c r="M46" i="6"/>
  <c r="L46" i="6"/>
  <c r="K46" i="6"/>
  <c r="J46" i="6"/>
  <c r="I46" i="6"/>
  <c r="H46" i="6"/>
  <c r="G46" i="6"/>
  <c r="F46" i="6"/>
  <c r="D46" i="6"/>
  <c r="C46" i="6"/>
  <c r="O45" i="6"/>
  <c r="N45" i="6"/>
  <c r="M45" i="6"/>
  <c r="L45" i="6"/>
  <c r="K45" i="6"/>
  <c r="J45" i="6"/>
  <c r="I45" i="6"/>
  <c r="H45" i="6"/>
  <c r="G45" i="6"/>
  <c r="F45" i="6"/>
  <c r="D45" i="6"/>
  <c r="C45" i="6"/>
  <c r="O44" i="6"/>
  <c r="N44" i="6"/>
  <c r="M44" i="6"/>
  <c r="L44" i="6"/>
  <c r="K44" i="6"/>
  <c r="J44" i="6"/>
  <c r="I44" i="6"/>
  <c r="H44" i="6"/>
  <c r="G44" i="6"/>
  <c r="F44" i="6"/>
  <c r="D44" i="6"/>
  <c r="C44" i="6"/>
  <c r="O43" i="6"/>
  <c r="N43" i="6"/>
  <c r="M43" i="6"/>
  <c r="L43" i="6"/>
  <c r="K43" i="6"/>
  <c r="J43" i="6"/>
  <c r="I43" i="6"/>
  <c r="H43" i="6"/>
  <c r="G43" i="6"/>
  <c r="F43" i="6"/>
  <c r="D43" i="6"/>
  <c r="C43" i="6"/>
  <c r="O42" i="6"/>
  <c r="N42" i="6"/>
  <c r="M42" i="6"/>
  <c r="L42" i="6"/>
  <c r="K42" i="6"/>
  <c r="J42" i="6"/>
  <c r="I42" i="6"/>
  <c r="H42" i="6"/>
  <c r="G42" i="6"/>
  <c r="F42" i="6"/>
  <c r="D42" i="6"/>
  <c r="C42" i="6"/>
  <c r="O41" i="6"/>
  <c r="N41" i="6"/>
  <c r="M41" i="6"/>
  <c r="L41" i="6"/>
  <c r="K41" i="6"/>
  <c r="J41" i="6"/>
  <c r="I41" i="6"/>
  <c r="H41" i="6"/>
  <c r="G41" i="6"/>
  <c r="F41" i="6"/>
  <c r="D41" i="6"/>
  <c r="C41" i="6"/>
  <c r="O40" i="6"/>
  <c r="N40" i="6"/>
  <c r="M40" i="6"/>
  <c r="L40" i="6"/>
  <c r="K40" i="6"/>
  <c r="J40" i="6"/>
  <c r="I40" i="6"/>
  <c r="H40" i="6"/>
  <c r="G40" i="6"/>
  <c r="F40" i="6"/>
  <c r="D40" i="6"/>
  <c r="C40" i="6"/>
  <c r="O39" i="6"/>
  <c r="N39" i="6"/>
  <c r="M39" i="6"/>
  <c r="L39" i="6"/>
  <c r="K39" i="6"/>
  <c r="J39" i="6"/>
  <c r="I39" i="6"/>
  <c r="H39" i="6"/>
  <c r="G39" i="6"/>
  <c r="F39" i="6"/>
  <c r="D39" i="6"/>
  <c r="C39" i="6"/>
  <c r="O38" i="6"/>
  <c r="N38" i="6"/>
  <c r="M38" i="6"/>
  <c r="L38" i="6"/>
  <c r="K38" i="6"/>
  <c r="J38" i="6"/>
  <c r="I38" i="6"/>
  <c r="H38" i="6"/>
  <c r="G38" i="6"/>
  <c r="F38" i="6"/>
  <c r="D38" i="6"/>
  <c r="C38" i="6"/>
  <c r="O37" i="6"/>
  <c r="N37" i="6"/>
  <c r="M37" i="6"/>
  <c r="L37" i="6"/>
  <c r="K37" i="6"/>
  <c r="J37" i="6"/>
  <c r="I37" i="6"/>
  <c r="H37" i="6"/>
  <c r="G37" i="6"/>
  <c r="F37" i="6"/>
  <c r="D37" i="6"/>
  <c r="C37" i="6"/>
  <c r="O36" i="6"/>
  <c r="N36" i="6"/>
  <c r="M36" i="6"/>
  <c r="L36" i="6"/>
  <c r="K36" i="6"/>
  <c r="J36" i="6"/>
  <c r="I36" i="6"/>
  <c r="H36" i="6"/>
  <c r="G36" i="6"/>
  <c r="F36" i="6"/>
  <c r="D36" i="6"/>
  <c r="C36" i="6"/>
  <c r="O35" i="6"/>
  <c r="N35" i="6"/>
  <c r="M35" i="6"/>
  <c r="L35" i="6"/>
  <c r="K35" i="6"/>
  <c r="J35" i="6"/>
  <c r="I35" i="6"/>
  <c r="H35" i="6"/>
  <c r="G35" i="6"/>
  <c r="F35" i="6"/>
  <c r="D35" i="6"/>
  <c r="C35" i="6"/>
  <c r="O34" i="6"/>
  <c r="N34" i="6"/>
  <c r="M34" i="6"/>
  <c r="L34" i="6"/>
  <c r="K34" i="6"/>
  <c r="J34" i="6"/>
  <c r="I34" i="6"/>
  <c r="H34" i="6"/>
  <c r="G34" i="6"/>
  <c r="F34" i="6"/>
  <c r="D34" i="6"/>
  <c r="C34" i="6"/>
  <c r="O33" i="6"/>
  <c r="N33" i="6"/>
  <c r="M33" i="6"/>
  <c r="L33" i="6"/>
  <c r="K33" i="6"/>
  <c r="J33" i="6"/>
  <c r="I33" i="6"/>
  <c r="H33" i="6"/>
  <c r="G33" i="6"/>
  <c r="F33" i="6"/>
  <c r="D33" i="6"/>
  <c r="C33" i="6"/>
  <c r="O32" i="6"/>
  <c r="N32" i="6"/>
  <c r="M32" i="6"/>
  <c r="L32" i="6"/>
  <c r="K32" i="6"/>
  <c r="J32" i="6"/>
  <c r="I32" i="6"/>
  <c r="H32" i="6"/>
  <c r="G32" i="6"/>
  <c r="F32" i="6"/>
  <c r="D32" i="6"/>
  <c r="C32" i="6"/>
  <c r="O31" i="6"/>
  <c r="N31" i="6"/>
  <c r="M31" i="6"/>
  <c r="L31" i="6"/>
  <c r="K31" i="6"/>
  <c r="J31" i="6"/>
  <c r="I31" i="6"/>
  <c r="H31" i="6"/>
  <c r="G31" i="6"/>
  <c r="F31" i="6"/>
  <c r="D31" i="6"/>
  <c r="C31" i="6"/>
  <c r="O30" i="6"/>
  <c r="N30" i="6"/>
  <c r="M30" i="6"/>
  <c r="L30" i="6"/>
  <c r="K30" i="6"/>
  <c r="J30" i="6"/>
  <c r="I30" i="6"/>
  <c r="H30" i="6"/>
  <c r="G30" i="6"/>
  <c r="F30" i="6"/>
  <c r="D30" i="6"/>
  <c r="C30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O28" i="6"/>
  <c r="N28" i="6"/>
  <c r="M28" i="6"/>
  <c r="L28" i="6"/>
  <c r="K28" i="6"/>
  <c r="J28" i="6"/>
  <c r="I28" i="6"/>
  <c r="H28" i="6"/>
  <c r="G28" i="6"/>
  <c r="F28" i="6"/>
  <c r="D28" i="6"/>
  <c r="C28" i="6"/>
  <c r="O27" i="6"/>
  <c r="M27" i="6"/>
  <c r="L27" i="6"/>
  <c r="K27" i="6"/>
  <c r="J27" i="6"/>
  <c r="I27" i="6"/>
  <c r="H27" i="6"/>
  <c r="G27" i="6"/>
  <c r="F27" i="6"/>
  <c r="D27" i="6"/>
  <c r="C27" i="6"/>
  <c r="O26" i="6"/>
  <c r="N26" i="6"/>
  <c r="M26" i="6"/>
  <c r="L26" i="6"/>
  <c r="K26" i="6"/>
  <c r="J26" i="6"/>
  <c r="I26" i="6"/>
  <c r="H26" i="6"/>
  <c r="G26" i="6"/>
  <c r="F26" i="6"/>
  <c r="D26" i="6"/>
  <c r="C26" i="6"/>
  <c r="O25" i="6"/>
  <c r="N25" i="6"/>
  <c r="M25" i="6"/>
  <c r="L25" i="6"/>
  <c r="K25" i="6"/>
  <c r="J25" i="6"/>
  <c r="I25" i="6"/>
  <c r="H25" i="6"/>
  <c r="G25" i="6"/>
  <c r="F25" i="6"/>
  <c r="D25" i="6"/>
  <c r="C25" i="6"/>
  <c r="O24" i="6"/>
  <c r="N24" i="6"/>
  <c r="M24" i="6"/>
  <c r="L24" i="6"/>
  <c r="K24" i="6"/>
  <c r="J24" i="6"/>
  <c r="I24" i="6"/>
  <c r="H24" i="6"/>
  <c r="G24" i="6"/>
  <c r="F24" i="6"/>
  <c r="D24" i="6"/>
  <c r="C24" i="6"/>
  <c r="O23" i="6"/>
  <c r="N23" i="6"/>
  <c r="M23" i="6"/>
  <c r="L23" i="6"/>
  <c r="K23" i="6"/>
  <c r="J23" i="6"/>
  <c r="I23" i="6"/>
  <c r="H23" i="6"/>
  <c r="G23" i="6"/>
  <c r="F23" i="6"/>
  <c r="D23" i="6"/>
  <c r="C23" i="6"/>
  <c r="O22" i="6"/>
  <c r="N22" i="6"/>
  <c r="M22" i="6"/>
  <c r="L22" i="6"/>
  <c r="K22" i="6"/>
  <c r="J22" i="6"/>
  <c r="I22" i="6"/>
  <c r="H22" i="6"/>
  <c r="G22" i="6"/>
  <c r="F22" i="6"/>
  <c r="D22" i="6"/>
  <c r="C22" i="6"/>
  <c r="O21" i="6"/>
  <c r="N21" i="6"/>
  <c r="M21" i="6"/>
  <c r="L21" i="6"/>
  <c r="K21" i="6"/>
  <c r="J21" i="6"/>
  <c r="I21" i="6"/>
  <c r="H21" i="6"/>
  <c r="G21" i="6"/>
  <c r="F21" i="6"/>
  <c r="D21" i="6"/>
  <c r="C21" i="6"/>
  <c r="O20" i="6"/>
  <c r="N20" i="6"/>
  <c r="M20" i="6"/>
  <c r="L20" i="6"/>
  <c r="K20" i="6"/>
  <c r="J20" i="6"/>
  <c r="I20" i="6"/>
  <c r="H20" i="6"/>
  <c r="G20" i="6"/>
  <c r="F20" i="6"/>
  <c r="D20" i="6"/>
  <c r="C20" i="6"/>
  <c r="O19" i="6"/>
  <c r="N19" i="6"/>
  <c r="M19" i="6"/>
  <c r="L19" i="6"/>
  <c r="K19" i="6"/>
  <c r="J19" i="6"/>
  <c r="I19" i="6"/>
  <c r="H19" i="6"/>
  <c r="G19" i="6"/>
  <c r="F19" i="6"/>
  <c r="D19" i="6"/>
  <c r="C19" i="6"/>
  <c r="O18" i="6"/>
  <c r="N18" i="6"/>
  <c r="M18" i="6"/>
  <c r="L18" i="6"/>
  <c r="K18" i="6"/>
  <c r="J18" i="6"/>
  <c r="I18" i="6"/>
  <c r="H18" i="6"/>
  <c r="G18" i="6"/>
  <c r="F18" i="6"/>
  <c r="D18" i="6"/>
  <c r="C18" i="6"/>
  <c r="O17" i="6"/>
  <c r="N17" i="6"/>
  <c r="M17" i="6"/>
  <c r="L17" i="6"/>
  <c r="K17" i="6"/>
  <c r="J17" i="6"/>
  <c r="I17" i="6"/>
  <c r="H17" i="6"/>
  <c r="G17" i="6"/>
  <c r="F17" i="6"/>
  <c r="D17" i="6"/>
  <c r="C17" i="6"/>
  <c r="O16" i="6"/>
  <c r="N16" i="6"/>
  <c r="M16" i="6"/>
  <c r="L16" i="6"/>
  <c r="K16" i="6"/>
  <c r="J16" i="6"/>
  <c r="I16" i="6"/>
  <c r="H16" i="6"/>
  <c r="G16" i="6"/>
  <c r="F16" i="6"/>
  <c r="D16" i="6"/>
  <c r="C16" i="6"/>
  <c r="O15" i="6"/>
  <c r="N15" i="6"/>
  <c r="M15" i="6"/>
  <c r="L15" i="6"/>
  <c r="K15" i="6"/>
  <c r="J15" i="6"/>
  <c r="I15" i="6"/>
  <c r="H15" i="6"/>
  <c r="G15" i="6"/>
  <c r="F15" i="6"/>
  <c r="D15" i="6"/>
  <c r="C15" i="6"/>
  <c r="O14" i="6"/>
  <c r="N14" i="6"/>
  <c r="M14" i="6"/>
  <c r="L14" i="6"/>
  <c r="K14" i="6"/>
  <c r="J14" i="6"/>
  <c r="I14" i="6"/>
  <c r="H14" i="6"/>
  <c r="G14" i="6"/>
  <c r="F14" i="6"/>
  <c r="D14" i="6"/>
  <c r="C14" i="6"/>
  <c r="O13" i="6"/>
  <c r="N13" i="6"/>
  <c r="M13" i="6"/>
  <c r="L13" i="6"/>
  <c r="K13" i="6"/>
  <c r="J13" i="6"/>
  <c r="I13" i="6"/>
  <c r="H13" i="6"/>
  <c r="G13" i="6"/>
  <c r="F13" i="6"/>
  <c r="D13" i="6"/>
  <c r="C13" i="6"/>
  <c r="O12" i="6"/>
  <c r="N12" i="6"/>
  <c r="M12" i="6"/>
  <c r="L12" i="6"/>
  <c r="K12" i="6"/>
  <c r="J12" i="6"/>
  <c r="I12" i="6"/>
  <c r="H12" i="6"/>
  <c r="G12" i="6"/>
  <c r="F12" i="6"/>
  <c r="D12" i="6"/>
  <c r="C12" i="6"/>
  <c r="O11" i="6"/>
  <c r="N11" i="6"/>
  <c r="M11" i="6"/>
  <c r="L11" i="6"/>
  <c r="K11" i="6"/>
  <c r="J11" i="6"/>
  <c r="I11" i="6"/>
  <c r="H11" i="6"/>
  <c r="G11" i="6"/>
  <c r="F11" i="6"/>
  <c r="D11" i="6"/>
  <c r="C11" i="6"/>
  <c r="O10" i="6"/>
  <c r="N10" i="6"/>
  <c r="M10" i="6"/>
  <c r="L10" i="6"/>
  <c r="K10" i="6"/>
  <c r="J10" i="6"/>
  <c r="I10" i="6"/>
  <c r="H10" i="6"/>
  <c r="G10" i="6"/>
  <c r="F10" i="6"/>
  <c r="D10" i="6"/>
  <c r="C10" i="6"/>
  <c r="O9" i="6"/>
  <c r="N9" i="6"/>
  <c r="M9" i="6"/>
  <c r="L9" i="6"/>
  <c r="K9" i="6"/>
  <c r="J9" i="6"/>
  <c r="I9" i="6"/>
  <c r="H9" i="6"/>
  <c r="G9" i="6"/>
  <c r="F9" i="6"/>
  <c r="D9" i="6"/>
  <c r="C9" i="6"/>
  <c r="O8" i="6"/>
  <c r="N8" i="6"/>
  <c r="M8" i="6"/>
  <c r="L8" i="6"/>
  <c r="K8" i="6"/>
  <c r="J8" i="6"/>
  <c r="I8" i="6"/>
  <c r="H8" i="6"/>
  <c r="G8" i="6"/>
  <c r="F8" i="6"/>
  <c r="D8" i="6"/>
  <c r="C8" i="6"/>
  <c r="O7" i="6"/>
  <c r="N7" i="6"/>
  <c r="M7" i="6"/>
  <c r="L7" i="6"/>
  <c r="K7" i="6"/>
  <c r="J7" i="6"/>
  <c r="I7" i="6"/>
  <c r="H7" i="6"/>
  <c r="G7" i="6"/>
  <c r="F7" i="6"/>
  <c r="D7" i="6"/>
  <c r="C7" i="6"/>
  <c r="O6" i="6"/>
  <c r="N6" i="6"/>
  <c r="M6" i="6"/>
  <c r="L6" i="6"/>
  <c r="K6" i="6"/>
  <c r="J6" i="6"/>
  <c r="I6" i="6"/>
  <c r="H6" i="6"/>
  <c r="G6" i="6"/>
  <c r="F6" i="6"/>
  <c r="D6" i="6"/>
  <c r="C6" i="6"/>
  <c r="O5" i="6"/>
  <c r="N5" i="6"/>
  <c r="M5" i="6"/>
  <c r="L5" i="6"/>
  <c r="K5" i="6"/>
  <c r="J5" i="6"/>
  <c r="I5" i="6"/>
  <c r="H5" i="6"/>
  <c r="G5" i="6"/>
  <c r="F5" i="6"/>
  <c r="D5" i="6"/>
  <c r="C5" i="6"/>
  <c r="O4" i="6"/>
  <c r="N4" i="6"/>
  <c r="M4" i="6"/>
  <c r="L4" i="6"/>
  <c r="K4" i="6"/>
  <c r="J4" i="6"/>
  <c r="I4" i="6"/>
  <c r="H4" i="6"/>
  <c r="G4" i="6"/>
  <c r="F4" i="6"/>
  <c r="D4" i="6"/>
  <c r="C4" i="6"/>
  <c r="O3" i="6"/>
  <c r="N3" i="6"/>
  <c r="M3" i="6"/>
  <c r="L3" i="6"/>
  <c r="K3" i="6"/>
  <c r="J3" i="6"/>
  <c r="I3" i="6"/>
  <c r="H3" i="6"/>
  <c r="G3" i="6"/>
  <c r="F3" i="6"/>
  <c r="D3" i="6"/>
  <c r="C3" i="6"/>
  <c r="O2" i="6"/>
  <c r="N2" i="6"/>
  <c r="M2" i="6"/>
  <c r="L2" i="6"/>
  <c r="K2" i="6"/>
  <c r="J2" i="6"/>
  <c r="I2" i="6"/>
  <c r="H2" i="6"/>
  <c r="G2" i="6"/>
  <c r="F2" i="6"/>
  <c r="D2" i="6"/>
  <c r="C2" i="6"/>
  <c r="B107" i="6"/>
  <c r="E107" i="6" s="1"/>
  <c r="B106" i="6"/>
  <c r="E106" i="6" s="1"/>
  <c r="B105" i="6"/>
  <c r="E105" i="6" s="1"/>
  <c r="B104" i="6"/>
  <c r="E104" i="6" s="1"/>
  <c r="B103" i="6"/>
  <c r="E103" i="6" s="1"/>
  <c r="B102" i="6"/>
  <c r="E102" i="6" s="1"/>
  <c r="B101" i="6"/>
  <c r="E101" i="6" s="1"/>
  <c r="B100" i="6"/>
  <c r="E100" i="6" s="1"/>
  <c r="B99" i="6"/>
  <c r="E99" i="6" s="1"/>
  <c r="B98" i="6"/>
  <c r="E98" i="6" s="1"/>
  <c r="B97" i="6"/>
  <c r="E97" i="6" s="1"/>
  <c r="B96" i="6"/>
  <c r="E96" i="6" s="1"/>
  <c r="B95" i="6"/>
  <c r="E95" i="6" s="1"/>
  <c r="B94" i="6"/>
  <c r="E94" i="6" s="1"/>
  <c r="B93" i="6"/>
  <c r="E93" i="6" s="1"/>
  <c r="B92" i="6"/>
  <c r="E92" i="6" s="1"/>
  <c r="B91" i="6"/>
  <c r="E91" i="6" s="1"/>
  <c r="B90" i="6"/>
  <c r="E90" i="6" s="1"/>
  <c r="B89" i="6"/>
  <c r="E89" i="6" s="1"/>
  <c r="B88" i="6"/>
  <c r="E88" i="6" s="1"/>
  <c r="B87" i="6"/>
  <c r="E87" i="6" s="1"/>
  <c r="B86" i="6"/>
  <c r="E86" i="6" s="1"/>
  <c r="B85" i="6"/>
  <c r="E85" i="6" s="1"/>
  <c r="B84" i="6"/>
  <c r="E84" i="6" s="1"/>
  <c r="B83" i="6"/>
  <c r="E83" i="6" s="1"/>
  <c r="B82" i="6"/>
  <c r="E82" i="6" s="1"/>
  <c r="B81" i="6"/>
  <c r="E81" i="6" s="1"/>
  <c r="B80" i="6"/>
  <c r="E80" i="6" s="1"/>
  <c r="B79" i="6"/>
  <c r="E79" i="6" s="1"/>
  <c r="B78" i="6"/>
  <c r="E78" i="6" s="1"/>
  <c r="B77" i="6"/>
  <c r="E77" i="6" s="1"/>
  <c r="B76" i="6"/>
  <c r="E76" i="6" s="1"/>
  <c r="B75" i="6"/>
  <c r="E75" i="6" s="1"/>
  <c r="B74" i="6"/>
  <c r="E74" i="6" s="1"/>
  <c r="B73" i="6"/>
  <c r="E73" i="6" s="1"/>
  <c r="B72" i="6"/>
  <c r="E72" i="6" s="1"/>
  <c r="B71" i="6"/>
  <c r="E71" i="6" s="1"/>
  <c r="B70" i="6"/>
  <c r="E70" i="6" s="1"/>
  <c r="B69" i="6"/>
  <c r="E69" i="6" s="1"/>
  <c r="B68" i="6"/>
  <c r="E68" i="6" s="1"/>
  <c r="B67" i="6"/>
  <c r="E67" i="6" s="1"/>
  <c r="B66" i="6"/>
  <c r="E66" i="6" s="1"/>
  <c r="B65" i="6"/>
  <c r="E65" i="6" s="1"/>
  <c r="B64" i="6"/>
  <c r="E64" i="6" s="1"/>
  <c r="B63" i="6"/>
  <c r="E63" i="6" s="1"/>
  <c r="B62" i="6"/>
  <c r="E62" i="6" s="1"/>
  <c r="B61" i="6"/>
  <c r="E61" i="6" s="1"/>
  <c r="B60" i="6"/>
  <c r="E60" i="6" s="1"/>
  <c r="B59" i="6"/>
  <c r="E59" i="6" s="1"/>
  <c r="B58" i="6"/>
  <c r="E58" i="6" s="1"/>
  <c r="B57" i="6"/>
  <c r="E57" i="6" s="1"/>
  <c r="B56" i="6"/>
  <c r="E56" i="6" s="1"/>
  <c r="B55" i="6"/>
  <c r="E55" i="6" s="1"/>
  <c r="B54" i="6"/>
  <c r="E54" i="6" s="1"/>
  <c r="B53" i="6"/>
  <c r="E53" i="6" s="1"/>
  <c r="B52" i="6"/>
  <c r="E52" i="6" s="1"/>
  <c r="B51" i="6"/>
  <c r="E51" i="6" s="1"/>
  <c r="B50" i="6"/>
  <c r="E50" i="6" s="1"/>
  <c r="B49" i="6"/>
  <c r="E49" i="6" s="1"/>
  <c r="B48" i="6"/>
  <c r="E48" i="6" s="1"/>
  <c r="B47" i="6"/>
  <c r="E47" i="6" s="1"/>
  <c r="B46" i="6"/>
  <c r="E46" i="6" s="1"/>
  <c r="B45" i="6"/>
  <c r="E45" i="6" s="1"/>
  <c r="B44" i="6"/>
  <c r="E44" i="6" s="1"/>
  <c r="B43" i="6"/>
  <c r="E43" i="6" s="1"/>
  <c r="B42" i="6"/>
  <c r="E42" i="6" s="1"/>
  <c r="B41" i="6"/>
  <c r="E41" i="6" s="1"/>
  <c r="B40" i="6"/>
  <c r="E40" i="6" s="1"/>
  <c r="B39" i="6"/>
  <c r="E39" i="6" s="1"/>
  <c r="B38" i="6"/>
  <c r="E38" i="6" s="1"/>
  <c r="B37" i="6"/>
  <c r="E37" i="6" s="1"/>
  <c r="B36" i="6"/>
  <c r="E36" i="6" s="1"/>
  <c r="B35" i="6"/>
  <c r="E35" i="6" s="1"/>
  <c r="B34" i="6"/>
  <c r="E34" i="6" s="1"/>
  <c r="B33" i="6"/>
  <c r="E33" i="6" s="1"/>
  <c r="B32" i="6"/>
  <c r="E32" i="6" s="1"/>
  <c r="B31" i="6"/>
  <c r="E31" i="6" s="1"/>
  <c r="B30" i="6"/>
  <c r="E30" i="6" s="1"/>
  <c r="B29" i="6"/>
  <c r="B28" i="6"/>
  <c r="E28" i="6" s="1"/>
  <c r="B27" i="6"/>
  <c r="E27" i="6" s="1"/>
  <c r="B26" i="6"/>
  <c r="E26" i="6" s="1"/>
  <c r="B25" i="6"/>
  <c r="E25" i="6" s="1"/>
  <c r="B24" i="6"/>
  <c r="E24" i="6" s="1"/>
  <c r="B23" i="6"/>
  <c r="E23" i="6" s="1"/>
  <c r="B22" i="6"/>
  <c r="E22" i="6" s="1"/>
  <c r="B21" i="6"/>
  <c r="E21" i="6" s="1"/>
  <c r="B20" i="6"/>
  <c r="E20" i="6" s="1"/>
  <c r="B19" i="6"/>
  <c r="E19" i="6" s="1"/>
  <c r="B18" i="6"/>
  <c r="E18" i="6" s="1"/>
  <c r="B17" i="6"/>
  <c r="E17" i="6" s="1"/>
  <c r="B16" i="6"/>
  <c r="E16" i="6" s="1"/>
  <c r="B15" i="6"/>
  <c r="E15" i="6" s="1"/>
  <c r="B14" i="6"/>
  <c r="E14" i="6" s="1"/>
  <c r="B13" i="6"/>
  <c r="E13" i="6" s="1"/>
  <c r="B12" i="6"/>
  <c r="E12" i="6" s="1"/>
  <c r="B11" i="6"/>
  <c r="E11" i="6" s="1"/>
  <c r="B10" i="6"/>
  <c r="E10" i="6" s="1"/>
  <c r="B9" i="6"/>
  <c r="E9" i="6" s="1"/>
  <c r="B8" i="6"/>
  <c r="E8" i="6" s="1"/>
  <c r="B7" i="6"/>
  <c r="E7" i="6" s="1"/>
  <c r="B6" i="6"/>
  <c r="E6" i="6" s="1"/>
  <c r="B5" i="6"/>
  <c r="E5" i="6" s="1"/>
  <c r="B4" i="6"/>
  <c r="E4" i="6" s="1"/>
  <c r="B3" i="6"/>
  <c r="E3" i="6" s="1"/>
  <c r="B2" i="6"/>
  <c r="E2" i="6" s="1"/>
  <c r="P71" i="9"/>
  <c r="P6" i="9"/>
  <c r="P58" i="9"/>
  <c r="P105" i="9"/>
  <c r="P33" i="9"/>
  <c r="P98" i="9"/>
  <c r="P26" i="9"/>
  <c r="P73" i="9"/>
  <c r="P114" i="9"/>
  <c r="P71" i="6"/>
  <c r="P58" i="6"/>
  <c r="P45" i="6"/>
  <c r="P8" i="6"/>
  <c r="P38" i="6"/>
  <c r="P25" i="6"/>
  <c r="P88" i="6"/>
  <c r="P75" i="6"/>
  <c r="P96" i="9"/>
  <c r="P99" i="9"/>
  <c r="P92" i="9"/>
  <c r="P46" i="6"/>
  <c r="P63" i="6"/>
  <c r="P9" i="6"/>
  <c r="P39" i="6"/>
  <c r="P12" i="6"/>
  <c r="P92" i="6"/>
  <c r="P94" i="9"/>
  <c r="P37" i="9"/>
  <c r="P3" i="6"/>
  <c r="P1" i="9"/>
  <c r="P55" i="6"/>
  <c r="P65" i="9"/>
  <c r="P59" i="9"/>
  <c r="P72" i="9"/>
  <c r="P46" i="9"/>
  <c r="P93" i="9"/>
  <c r="P21" i="9"/>
  <c r="P86" i="9"/>
  <c r="P14" i="9"/>
  <c r="P61" i="9"/>
  <c r="P90" i="9"/>
  <c r="P47" i="6"/>
  <c r="P34" i="6"/>
  <c r="P21" i="6"/>
  <c r="P37" i="6"/>
  <c r="P102" i="6"/>
  <c r="P89" i="6"/>
  <c r="P64" i="6"/>
  <c r="P51" i="6"/>
  <c r="P36" i="6"/>
  <c r="P112" i="9"/>
  <c r="P40" i="9"/>
  <c r="P87" i="9"/>
  <c r="P15" i="9"/>
  <c r="P80" i="9"/>
  <c r="P8" i="9"/>
  <c r="P22" i="6"/>
  <c r="P24" i="6"/>
  <c r="P68" i="9"/>
  <c r="P53" i="6"/>
  <c r="P108" i="9"/>
  <c r="P80" i="6"/>
  <c r="P16" i="9"/>
  <c r="P42" i="6"/>
  <c r="P53" i="9"/>
  <c r="P47" i="9"/>
  <c r="P106" i="9"/>
  <c r="P34" i="9"/>
  <c r="P81" i="9"/>
  <c r="P9" i="9"/>
  <c r="P74" i="9"/>
  <c r="P30" i="9"/>
  <c r="P49" i="9"/>
  <c r="P84" i="9"/>
  <c r="P23" i="6"/>
  <c r="P10" i="6"/>
  <c r="P104" i="6"/>
  <c r="P91" i="6"/>
  <c r="P65" i="6"/>
  <c r="P79" i="6"/>
  <c r="P69" i="9"/>
  <c r="P54" i="6"/>
  <c r="P31" i="9"/>
  <c r="P86" i="6"/>
  <c r="P119" i="9"/>
  <c r="P41" i="9"/>
  <c r="P100" i="9"/>
  <c r="P28" i="9"/>
  <c r="P75" i="9"/>
  <c r="P3" i="9"/>
  <c r="P43" i="9"/>
  <c r="P15" i="6"/>
  <c r="P85" i="6"/>
  <c r="P54" i="9"/>
  <c r="P4" i="6"/>
  <c r="P113" i="9"/>
  <c r="P101" i="9"/>
  <c r="P23" i="9"/>
  <c r="P95" i="9"/>
  <c r="P17" i="9"/>
  <c r="P82" i="9"/>
  <c r="P10" i="9"/>
  <c r="P57" i="9"/>
  <c r="P18" i="9"/>
  <c r="P50" i="9"/>
  <c r="P97" i="9"/>
  <c r="P25" i="9"/>
  <c r="P1" i="6"/>
  <c r="P106" i="6"/>
  <c r="P93" i="6"/>
  <c r="P56" i="6"/>
  <c r="P43" i="6"/>
  <c r="P30" i="6"/>
  <c r="P5" i="6"/>
  <c r="P98" i="6"/>
  <c r="P73" i="6"/>
  <c r="P84" i="6"/>
  <c r="P59" i="6"/>
  <c r="P101" i="6"/>
  <c r="P55" i="9"/>
  <c r="P90" i="6"/>
  <c r="P40" i="6"/>
  <c r="P50" i="6"/>
  <c r="P35" i="9"/>
  <c r="P14" i="6"/>
  <c r="P88" i="9"/>
  <c r="P105" i="6"/>
  <c r="P89" i="9"/>
  <c r="P11" i="9"/>
  <c r="P76" i="9"/>
  <c r="P4" i="9"/>
  <c r="P51" i="9"/>
  <c r="P36" i="9"/>
  <c r="P44" i="9"/>
  <c r="P91" i="9"/>
  <c r="P19" i="9"/>
  <c r="P107" i="6"/>
  <c r="P94" i="6"/>
  <c r="P81" i="6"/>
  <c r="P44" i="6"/>
  <c r="P31" i="6"/>
  <c r="P18" i="6"/>
  <c r="P74" i="6"/>
  <c r="P97" i="6"/>
  <c r="P96" i="6"/>
  <c r="P19" i="6"/>
  <c r="P61" i="6"/>
  <c r="P99" i="6"/>
  <c r="P66" i="9"/>
  <c r="P26" i="6"/>
  <c r="P76" i="6"/>
  <c r="P78" i="9"/>
  <c r="P77" i="6"/>
  <c r="P42" i="9"/>
  <c r="P66" i="6"/>
  <c r="P22" i="9"/>
  <c r="P2" i="9"/>
  <c r="P16" i="6"/>
  <c r="P109" i="9"/>
  <c r="P49" i="6"/>
  <c r="P83" i="9"/>
  <c r="P5" i="9"/>
  <c r="P70" i="9"/>
  <c r="P48" i="9"/>
  <c r="P45" i="9"/>
  <c r="P24" i="9"/>
  <c r="P38" i="9"/>
  <c r="P85" i="9"/>
  <c r="P13" i="9"/>
  <c r="P95" i="6"/>
  <c r="P82" i="6"/>
  <c r="P69" i="6"/>
  <c r="P32" i="6"/>
  <c r="P6" i="6"/>
  <c r="P67" i="9"/>
  <c r="P13" i="6"/>
  <c r="P35" i="6"/>
  <c r="P52" i="6"/>
  <c r="P27" i="6"/>
  <c r="P11" i="6"/>
  <c r="P2" i="6"/>
  <c r="P115" i="9"/>
  <c r="P41" i="6"/>
  <c r="P56" i="9"/>
  <c r="P17" i="6"/>
  <c r="P77" i="9"/>
  <c r="P60" i="9"/>
  <c r="P64" i="9"/>
  <c r="P111" i="9"/>
  <c r="P39" i="9"/>
  <c r="P110" i="9"/>
  <c r="P32" i="9"/>
  <c r="P79" i="9"/>
  <c r="P7" i="9"/>
  <c r="P83" i="6"/>
  <c r="P70" i="6"/>
  <c r="P57" i="6"/>
  <c r="P20" i="6"/>
  <c r="P7" i="6"/>
  <c r="P62" i="6"/>
  <c r="P100" i="6"/>
  <c r="P87" i="6"/>
  <c r="P72" i="6"/>
  <c r="P60" i="6"/>
  <c r="P52" i="9"/>
  <c r="P27" i="9"/>
  <c r="P20" i="9"/>
  <c r="P33" i="6"/>
  <c r="P48" i="6"/>
  <c r="P103" i="6"/>
  <c r="P78" i="6"/>
  <c r="P12" i="9"/>
  <c r="P28" i="6"/>
  <c r="P62" i="9"/>
  <c r="P67" i="6"/>
  <c r="P63" i="9"/>
  <c r="P68" i="6"/>
  <c r="B107" i="5" l="1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P107" i="3" l="1"/>
  <c r="O107" i="3"/>
  <c r="N107" i="3"/>
  <c r="M107" i="3"/>
  <c r="L107" i="3"/>
  <c r="K107" i="3"/>
  <c r="J107" i="3"/>
  <c r="I107" i="3"/>
  <c r="H107" i="3"/>
  <c r="G107" i="3"/>
  <c r="F107" i="3"/>
  <c r="D107" i="3"/>
  <c r="C107" i="3"/>
  <c r="O106" i="3"/>
  <c r="N106" i="3"/>
  <c r="M106" i="3"/>
  <c r="L106" i="3"/>
  <c r="K106" i="3"/>
  <c r="J106" i="3"/>
  <c r="I106" i="3"/>
  <c r="H106" i="3"/>
  <c r="G106" i="3"/>
  <c r="F106" i="3"/>
  <c r="D106" i="3"/>
  <c r="C106" i="3"/>
  <c r="P106" i="3" s="1"/>
  <c r="P105" i="3"/>
  <c r="O105" i="3"/>
  <c r="N105" i="3"/>
  <c r="M105" i="3"/>
  <c r="L105" i="3"/>
  <c r="K105" i="3"/>
  <c r="J105" i="3"/>
  <c r="I105" i="3"/>
  <c r="H105" i="3"/>
  <c r="G105" i="3"/>
  <c r="F105" i="3"/>
  <c r="D105" i="3"/>
  <c r="C105" i="3"/>
  <c r="O104" i="3"/>
  <c r="N104" i="3"/>
  <c r="M104" i="3"/>
  <c r="L104" i="3"/>
  <c r="K104" i="3"/>
  <c r="J104" i="3"/>
  <c r="I104" i="3"/>
  <c r="H104" i="3"/>
  <c r="G104" i="3"/>
  <c r="F104" i="3"/>
  <c r="D104" i="3"/>
  <c r="P104" i="3" s="1"/>
  <c r="C104" i="3"/>
  <c r="O103" i="3"/>
  <c r="N103" i="3"/>
  <c r="M103" i="3"/>
  <c r="L103" i="3"/>
  <c r="K103" i="3"/>
  <c r="J103" i="3"/>
  <c r="I103" i="3"/>
  <c r="H103" i="3"/>
  <c r="G103" i="3"/>
  <c r="F103" i="3"/>
  <c r="D103" i="3"/>
  <c r="P103" i="3" s="1"/>
  <c r="C103" i="3"/>
  <c r="O102" i="3"/>
  <c r="N102" i="3"/>
  <c r="M102" i="3"/>
  <c r="L102" i="3"/>
  <c r="K102" i="3"/>
  <c r="J102" i="3"/>
  <c r="I102" i="3"/>
  <c r="H102" i="3"/>
  <c r="G102" i="3"/>
  <c r="F102" i="3"/>
  <c r="D102" i="3"/>
  <c r="P102" i="3" s="1"/>
  <c r="C102" i="3"/>
  <c r="O101" i="3"/>
  <c r="N101" i="3"/>
  <c r="M101" i="3"/>
  <c r="L101" i="3"/>
  <c r="K101" i="3"/>
  <c r="J101" i="3"/>
  <c r="I101" i="3"/>
  <c r="H101" i="3"/>
  <c r="G101" i="3"/>
  <c r="F101" i="3"/>
  <c r="D101" i="3"/>
  <c r="P101" i="3" s="1"/>
  <c r="C101" i="3"/>
  <c r="O100" i="3"/>
  <c r="N100" i="3"/>
  <c r="M100" i="3"/>
  <c r="L100" i="3"/>
  <c r="K100" i="3"/>
  <c r="J100" i="3"/>
  <c r="I100" i="3"/>
  <c r="H100" i="3"/>
  <c r="G100" i="3"/>
  <c r="F100" i="3"/>
  <c r="D100" i="3"/>
  <c r="P100" i="3" s="1"/>
  <c r="C100" i="3"/>
  <c r="O99" i="3"/>
  <c r="N99" i="3"/>
  <c r="M99" i="3"/>
  <c r="L99" i="3"/>
  <c r="K99" i="3"/>
  <c r="J99" i="3"/>
  <c r="I99" i="3"/>
  <c r="H99" i="3"/>
  <c r="G99" i="3"/>
  <c r="F99" i="3"/>
  <c r="D99" i="3"/>
  <c r="P99" i="3" s="1"/>
  <c r="C99" i="3"/>
  <c r="O98" i="3"/>
  <c r="N98" i="3"/>
  <c r="M98" i="3"/>
  <c r="L98" i="3"/>
  <c r="K98" i="3"/>
  <c r="J98" i="3"/>
  <c r="I98" i="3"/>
  <c r="H98" i="3"/>
  <c r="G98" i="3"/>
  <c r="F98" i="3"/>
  <c r="D98" i="3"/>
  <c r="P98" i="3" s="1"/>
  <c r="C98" i="3"/>
  <c r="O97" i="3"/>
  <c r="N97" i="3"/>
  <c r="M97" i="3"/>
  <c r="L97" i="3"/>
  <c r="K97" i="3"/>
  <c r="J97" i="3"/>
  <c r="I97" i="3"/>
  <c r="H97" i="3"/>
  <c r="G97" i="3"/>
  <c r="F97" i="3"/>
  <c r="D97" i="3"/>
  <c r="P97" i="3" s="1"/>
  <c r="C97" i="3"/>
  <c r="O96" i="3"/>
  <c r="N96" i="3"/>
  <c r="M96" i="3"/>
  <c r="L96" i="3"/>
  <c r="K96" i="3"/>
  <c r="J96" i="3"/>
  <c r="I96" i="3"/>
  <c r="H96" i="3"/>
  <c r="G96" i="3"/>
  <c r="F96" i="3"/>
  <c r="D96" i="3"/>
  <c r="P96" i="3" s="1"/>
  <c r="C96" i="3"/>
  <c r="O95" i="3"/>
  <c r="N95" i="3"/>
  <c r="M95" i="3"/>
  <c r="L95" i="3"/>
  <c r="K95" i="3"/>
  <c r="J95" i="3"/>
  <c r="I95" i="3"/>
  <c r="H95" i="3"/>
  <c r="G95" i="3"/>
  <c r="F95" i="3"/>
  <c r="D95" i="3"/>
  <c r="P95" i="3" s="1"/>
  <c r="C95" i="3"/>
  <c r="O94" i="3"/>
  <c r="N94" i="3"/>
  <c r="M94" i="3"/>
  <c r="L94" i="3"/>
  <c r="K94" i="3"/>
  <c r="J94" i="3"/>
  <c r="I94" i="3"/>
  <c r="H94" i="3"/>
  <c r="G94" i="3"/>
  <c r="F94" i="3"/>
  <c r="D94" i="3"/>
  <c r="P94" i="3" s="1"/>
  <c r="C94" i="3"/>
  <c r="O93" i="3"/>
  <c r="N93" i="3"/>
  <c r="M93" i="3"/>
  <c r="L93" i="3"/>
  <c r="K93" i="3"/>
  <c r="J93" i="3"/>
  <c r="I93" i="3"/>
  <c r="H93" i="3"/>
  <c r="G93" i="3"/>
  <c r="F93" i="3"/>
  <c r="D93" i="3"/>
  <c r="P93" i="3" s="1"/>
  <c r="C93" i="3"/>
  <c r="O92" i="3"/>
  <c r="N92" i="3"/>
  <c r="M92" i="3"/>
  <c r="L92" i="3"/>
  <c r="K92" i="3"/>
  <c r="J92" i="3"/>
  <c r="I92" i="3"/>
  <c r="H92" i="3"/>
  <c r="G92" i="3"/>
  <c r="F92" i="3"/>
  <c r="D92" i="3"/>
  <c r="P92" i="3" s="1"/>
  <c r="C92" i="3"/>
  <c r="O91" i="3"/>
  <c r="N91" i="3"/>
  <c r="M91" i="3"/>
  <c r="L91" i="3"/>
  <c r="K91" i="3"/>
  <c r="J91" i="3"/>
  <c r="I91" i="3"/>
  <c r="H91" i="3"/>
  <c r="G91" i="3"/>
  <c r="F91" i="3"/>
  <c r="D91" i="3"/>
  <c r="P91" i="3" s="1"/>
  <c r="C91" i="3"/>
  <c r="O90" i="3"/>
  <c r="N90" i="3"/>
  <c r="M90" i="3"/>
  <c r="L90" i="3"/>
  <c r="K90" i="3"/>
  <c r="J90" i="3"/>
  <c r="I90" i="3"/>
  <c r="H90" i="3"/>
  <c r="G90" i="3"/>
  <c r="F90" i="3"/>
  <c r="D90" i="3"/>
  <c r="P90" i="3" s="1"/>
  <c r="C90" i="3"/>
  <c r="O89" i="3"/>
  <c r="N89" i="3"/>
  <c r="M89" i="3"/>
  <c r="L89" i="3"/>
  <c r="K89" i="3"/>
  <c r="J89" i="3"/>
  <c r="I89" i="3"/>
  <c r="H89" i="3"/>
  <c r="G89" i="3"/>
  <c r="F89" i="3"/>
  <c r="D89" i="3"/>
  <c r="P89" i="3" s="1"/>
  <c r="C89" i="3"/>
  <c r="O88" i="3"/>
  <c r="N88" i="3"/>
  <c r="M88" i="3"/>
  <c r="L88" i="3"/>
  <c r="K88" i="3"/>
  <c r="J88" i="3"/>
  <c r="I88" i="3"/>
  <c r="H88" i="3"/>
  <c r="G88" i="3"/>
  <c r="F88" i="3"/>
  <c r="D88" i="3"/>
  <c r="C88" i="3"/>
  <c r="P88" i="3" s="1"/>
  <c r="O87" i="3"/>
  <c r="N87" i="3"/>
  <c r="M87" i="3"/>
  <c r="L87" i="3"/>
  <c r="K87" i="3"/>
  <c r="J87" i="3"/>
  <c r="I87" i="3"/>
  <c r="H87" i="3"/>
  <c r="G87" i="3"/>
  <c r="F87" i="3"/>
  <c r="D87" i="3"/>
  <c r="P87" i="3" s="1"/>
  <c r="C87" i="3"/>
  <c r="O86" i="3"/>
  <c r="N86" i="3"/>
  <c r="M86" i="3"/>
  <c r="L86" i="3"/>
  <c r="K86" i="3"/>
  <c r="J86" i="3"/>
  <c r="I86" i="3"/>
  <c r="H86" i="3"/>
  <c r="G86" i="3"/>
  <c r="F86" i="3"/>
  <c r="D86" i="3"/>
  <c r="C86" i="3"/>
  <c r="P86" i="3" s="1"/>
  <c r="O85" i="3"/>
  <c r="N85" i="3"/>
  <c r="M85" i="3"/>
  <c r="L85" i="3"/>
  <c r="K85" i="3"/>
  <c r="J85" i="3"/>
  <c r="I85" i="3"/>
  <c r="H85" i="3"/>
  <c r="G85" i="3"/>
  <c r="F85" i="3"/>
  <c r="D85" i="3"/>
  <c r="P85" i="3" s="1"/>
  <c r="C85" i="3"/>
  <c r="O84" i="3"/>
  <c r="N84" i="3"/>
  <c r="M84" i="3"/>
  <c r="L84" i="3"/>
  <c r="K84" i="3"/>
  <c r="J84" i="3"/>
  <c r="I84" i="3"/>
  <c r="H84" i="3"/>
  <c r="G84" i="3"/>
  <c r="F84" i="3"/>
  <c r="D84" i="3"/>
  <c r="C84" i="3"/>
  <c r="P84" i="3" s="1"/>
  <c r="O83" i="3"/>
  <c r="N83" i="3"/>
  <c r="M83" i="3"/>
  <c r="L83" i="3"/>
  <c r="K83" i="3"/>
  <c r="J83" i="3"/>
  <c r="I83" i="3"/>
  <c r="H83" i="3"/>
  <c r="G83" i="3"/>
  <c r="F83" i="3"/>
  <c r="D83" i="3"/>
  <c r="P83" i="3" s="1"/>
  <c r="C83" i="3"/>
  <c r="O82" i="3"/>
  <c r="N82" i="3"/>
  <c r="M82" i="3"/>
  <c r="L82" i="3"/>
  <c r="K82" i="3"/>
  <c r="J82" i="3"/>
  <c r="I82" i="3"/>
  <c r="H82" i="3"/>
  <c r="G82" i="3"/>
  <c r="F82" i="3"/>
  <c r="D82" i="3"/>
  <c r="C82" i="3"/>
  <c r="P82" i="3" s="1"/>
  <c r="O81" i="3"/>
  <c r="N81" i="3"/>
  <c r="M81" i="3"/>
  <c r="L81" i="3"/>
  <c r="K81" i="3"/>
  <c r="J81" i="3"/>
  <c r="I81" i="3"/>
  <c r="H81" i="3"/>
  <c r="G81" i="3"/>
  <c r="F81" i="3"/>
  <c r="D81" i="3"/>
  <c r="P81" i="3" s="1"/>
  <c r="C81" i="3"/>
  <c r="O80" i="3"/>
  <c r="N80" i="3"/>
  <c r="M80" i="3"/>
  <c r="L80" i="3"/>
  <c r="K80" i="3"/>
  <c r="J80" i="3"/>
  <c r="I80" i="3"/>
  <c r="H80" i="3"/>
  <c r="G80" i="3"/>
  <c r="F80" i="3"/>
  <c r="D80" i="3"/>
  <c r="C80" i="3"/>
  <c r="P80" i="3" s="1"/>
  <c r="P79" i="3"/>
  <c r="O79" i="3"/>
  <c r="N79" i="3"/>
  <c r="M79" i="3"/>
  <c r="L79" i="3"/>
  <c r="K79" i="3"/>
  <c r="J79" i="3"/>
  <c r="I79" i="3"/>
  <c r="H79" i="3"/>
  <c r="G79" i="3"/>
  <c r="F79" i="3"/>
  <c r="D79" i="3"/>
  <c r="C79" i="3"/>
  <c r="O78" i="3"/>
  <c r="N78" i="3"/>
  <c r="M78" i="3"/>
  <c r="L78" i="3"/>
  <c r="K78" i="3"/>
  <c r="J78" i="3"/>
  <c r="I78" i="3"/>
  <c r="H78" i="3"/>
  <c r="G78" i="3"/>
  <c r="F78" i="3"/>
  <c r="D78" i="3"/>
  <c r="C78" i="3"/>
  <c r="P78" i="3" s="1"/>
  <c r="O77" i="3"/>
  <c r="N77" i="3"/>
  <c r="M77" i="3"/>
  <c r="L77" i="3"/>
  <c r="K77" i="3"/>
  <c r="J77" i="3"/>
  <c r="I77" i="3"/>
  <c r="H77" i="3"/>
  <c r="G77" i="3"/>
  <c r="F77" i="3"/>
  <c r="D77" i="3"/>
  <c r="P77" i="3" s="1"/>
  <c r="C77" i="3"/>
  <c r="O76" i="3"/>
  <c r="N76" i="3"/>
  <c r="M76" i="3"/>
  <c r="L76" i="3"/>
  <c r="K76" i="3"/>
  <c r="J76" i="3"/>
  <c r="I76" i="3"/>
  <c r="H76" i="3"/>
  <c r="G76" i="3"/>
  <c r="F76" i="3"/>
  <c r="D76" i="3"/>
  <c r="C76" i="3"/>
  <c r="P76" i="3" s="1"/>
  <c r="O75" i="3"/>
  <c r="N75" i="3"/>
  <c r="M75" i="3"/>
  <c r="L75" i="3"/>
  <c r="K75" i="3"/>
  <c r="J75" i="3"/>
  <c r="I75" i="3"/>
  <c r="H75" i="3"/>
  <c r="G75" i="3"/>
  <c r="F75" i="3"/>
  <c r="D75" i="3"/>
  <c r="P75" i="3" s="1"/>
  <c r="C75" i="3"/>
  <c r="O74" i="3"/>
  <c r="N74" i="3"/>
  <c r="M74" i="3"/>
  <c r="L74" i="3"/>
  <c r="K74" i="3"/>
  <c r="J74" i="3"/>
  <c r="I74" i="3"/>
  <c r="H74" i="3"/>
  <c r="G74" i="3"/>
  <c r="F74" i="3"/>
  <c r="D74" i="3"/>
  <c r="C74" i="3"/>
  <c r="P74" i="3" s="1"/>
  <c r="O73" i="3"/>
  <c r="N73" i="3"/>
  <c r="M73" i="3"/>
  <c r="L73" i="3"/>
  <c r="K73" i="3"/>
  <c r="J73" i="3"/>
  <c r="I73" i="3"/>
  <c r="H73" i="3"/>
  <c r="G73" i="3"/>
  <c r="F73" i="3"/>
  <c r="D73" i="3"/>
  <c r="P73" i="3" s="1"/>
  <c r="C73" i="3"/>
  <c r="O72" i="3"/>
  <c r="N72" i="3"/>
  <c r="M72" i="3"/>
  <c r="L72" i="3"/>
  <c r="K72" i="3"/>
  <c r="J72" i="3"/>
  <c r="I72" i="3"/>
  <c r="H72" i="3"/>
  <c r="G72" i="3"/>
  <c r="F72" i="3"/>
  <c r="D72" i="3"/>
  <c r="C72" i="3"/>
  <c r="P72" i="3" s="1"/>
  <c r="O71" i="3"/>
  <c r="N71" i="3"/>
  <c r="M71" i="3"/>
  <c r="L71" i="3"/>
  <c r="K71" i="3"/>
  <c r="J71" i="3"/>
  <c r="I71" i="3"/>
  <c r="H71" i="3"/>
  <c r="G71" i="3"/>
  <c r="F71" i="3"/>
  <c r="D71" i="3"/>
  <c r="P71" i="3" s="1"/>
  <c r="C71" i="3"/>
  <c r="O70" i="3"/>
  <c r="N70" i="3"/>
  <c r="M70" i="3"/>
  <c r="L70" i="3"/>
  <c r="K70" i="3"/>
  <c r="J70" i="3"/>
  <c r="I70" i="3"/>
  <c r="H70" i="3"/>
  <c r="G70" i="3"/>
  <c r="F70" i="3"/>
  <c r="D70" i="3"/>
  <c r="C70" i="3"/>
  <c r="P70" i="3" s="1"/>
  <c r="O69" i="3"/>
  <c r="N69" i="3"/>
  <c r="M69" i="3"/>
  <c r="L69" i="3"/>
  <c r="K69" i="3"/>
  <c r="J69" i="3"/>
  <c r="I69" i="3"/>
  <c r="H69" i="3"/>
  <c r="G69" i="3"/>
  <c r="F69" i="3"/>
  <c r="D69" i="3"/>
  <c r="P69" i="3" s="1"/>
  <c r="C69" i="3"/>
  <c r="O68" i="3"/>
  <c r="N68" i="3"/>
  <c r="M68" i="3"/>
  <c r="L68" i="3"/>
  <c r="K68" i="3"/>
  <c r="J68" i="3"/>
  <c r="I68" i="3"/>
  <c r="H68" i="3"/>
  <c r="G68" i="3"/>
  <c r="F68" i="3"/>
  <c r="D68" i="3"/>
  <c r="C68" i="3"/>
  <c r="P68" i="3" s="1"/>
  <c r="O67" i="3"/>
  <c r="N67" i="3"/>
  <c r="M67" i="3"/>
  <c r="L67" i="3"/>
  <c r="K67" i="3"/>
  <c r="J67" i="3"/>
  <c r="I67" i="3"/>
  <c r="H67" i="3"/>
  <c r="G67" i="3"/>
  <c r="F67" i="3"/>
  <c r="D67" i="3"/>
  <c r="P67" i="3" s="1"/>
  <c r="C67" i="3"/>
  <c r="O66" i="3"/>
  <c r="N66" i="3"/>
  <c r="M66" i="3"/>
  <c r="L66" i="3"/>
  <c r="K66" i="3"/>
  <c r="J66" i="3"/>
  <c r="I66" i="3"/>
  <c r="H66" i="3"/>
  <c r="G66" i="3"/>
  <c r="F66" i="3"/>
  <c r="D66" i="3"/>
  <c r="C66" i="3"/>
  <c r="P66" i="3" s="1"/>
  <c r="O65" i="3"/>
  <c r="N65" i="3"/>
  <c r="M65" i="3"/>
  <c r="L65" i="3"/>
  <c r="K65" i="3"/>
  <c r="J65" i="3"/>
  <c r="I65" i="3"/>
  <c r="H65" i="3"/>
  <c r="G65" i="3"/>
  <c r="F65" i="3"/>
  <c r="D65" i="3"/>
  <c r="P65" i="3" s="1"/>
  <c r="C65" i="3"/>
  <c r="O64" i="3"/>
  <c r="N64" i="3"/>
  <c r="M64" i="3"/>
  <c r="L64" i="3"/>
  <c r="K64" i="3"/>
  <c r="J64" i="3"/>
  <c r="I64" i="3"/>
  <c r="H64" i="3"/>
  <c r="G64" i="3"/>
  <c r="F64" i="3"/>
  <c r="D64" i="3"/>
  <c r="C64" i="3"/>
  <c r="P64" i="3" s="1"/>
  <c r="O63" i="3"/>
  <c r="N63" i="3"/>
  <c r="M63" i="3"/>
  <c r="L63" i="3"/>
  <c r="K63" i="3"/>
  <c r="J63" i="3"/>
  <c r="I63" i="3"/>
  <c r="H63" i="3"/>
  <c r="G63" i="3"/>
  <c r="F63" i="3"/>
  <c r="D63" i="3"/>
  <c r="P63" i="3" s="1"/>
  <c r="C63" i="3"/>
  <c r="O62" i="3"/>
  <c r="N62" i="3"/>
  <c r="M62" i="3"/>
  <c r="L62" i="3"/>
  <c r="K62" i="3"/>
  <c r="J62" i="3"/>
  <c r="I62" i="3"/>
  <c r="H62" i="3"/>
  <c r="G62" i="3"/>
  <c r="F62" i="3"/>
  <c r="D62" i="3"/>
  <c r="C62" i="3"/>
  <c r="P62" i="3" s="1"/>
  <c r="O61" i="3"/>
  <c r="N61" i="3"/>
  <c r="M61" i="3"/>
  <c r="L61" i="3"/>
  <c r="K61" i="3"/>
  <c r="J61" i="3"/>
  <c r="I61" i="3"/>
  <c r="H61" i="3"/>
  <c r="G61" i="3"/>
  <c r="F61" i="3"/>
  <c r="D61" i="3"/>
  <c r="P61" i="3" s="1"/>
  <c r="C61" i="3"/>
  <c r="O60" i="3"/>
  <c r="N60" i="3"/>
  <c r="M60" i="3"/>
  <c r="L60" i="3"/>
  <c r="K60" i="3"/>
  <c r="J60" i="3"/>
  <c r="I60" i="3"/>
  <c r="H60" i="3"/>
  <c r="G60" i="3"/>
  <c r="F60" i="3"/>
  <c r="D60" i="3"/>
  <c r="C60" i="3"/>
  <c r="P60" i="3" s="1"/>
  <c r="O59" i="3"/>
  <c r="N59" i="3"/>
  <c r="M59" i="3"/>
  <c r="L59" i="3"/>
  <c r="K59" i="3"/>
  <c r="J59" i="3"/>
  <c r="I59" i="3"/>
  <c r="H59" i="3"/>
  <c r="G59" i="3"/>
  <c r="F59" i="3"/>
  <c r="D59" i="3"/>
  <c r="P59" i="3" s="1"/>
  <c r="C59" i="3"/>
  <c r="O58" i="3"/>
  <c r="N58" i="3"/>
  <c r="M58" i="3"/>
  <c r="L58" i="3"/>
  <c r="K58" i="3"/>
  <c r="J58" i="3"/>
  <c r="I58" i="3"/>
  <c r="H58" i="3"/>
  <c r="G58" i="3"/>
  <c r="F58" i="3"/>
  <c r="D58" i="3"/>
  <c r="C58" i="3"/>
  <c r="P58" i="3" s="1"/>
  <c r="O57" i="3"/>
  <c r="N57" i="3"/>
  <c r="M57" i="3"/>
  <c r="L57" i="3"/>
  <c r="K57" i="3"/>
  <c r="J57" i="3"/>
  <c r="I57" i="3"/>
  <c r="H57" i="3"/>
  <c r="G57" i="3"/>
  <c r="F57" i="3"/>
  <c r="D57" i="3"/>
  <c r="P57" i="3" s="1"/>
  <c r="C57" i="3"/>
  <c r="O56" i="3"/>
  <c r="N56" i="3"/>
  <c r="M56" i="3"/>
  <c r="L56" i="3"/>
  <c r="K56" i="3"/>
  <c r="J56" i="3"/>
  <c r="I56" i="3"/>
  <c r="H56" i="3"/>
  <c r="G56" i="3"/>
  <c r="F56" i="3"/>
  <c r="D56" i="3"/>
  <c r="C56" i="3"/>
  <c r="P56" i="3" s="1"/>
  <c r="O55" i="3"/>
  <c r="N55" i="3"/>
  <c r="M55" i="3"/>
  <c r="L55" i="3"/>
  <c r="K55" i="3"/>
  <c r="J55" i="3"/>
  <c r="I55" i="3"/>
  <c r="H55" i="3"/>
  <c r="G55" i="3"/>
  <c r="F55" i="3"/>
  <c r="D55" i="3"/>
  <c r="P55" i="3" s="1"/>
  <c r="C55" i="3"/>
  <c r="O54" i="3"/>
  <c r="N54" i="3"/>
  <c r="M54" i="3"/>
  <c r="L54" i="3"/>
  <c r="K54" i="3"/>
  <c r="J54" i="3"/>
  <c r="I54" i="3"/>
  <c r="H54" i="3"/>
  <c r="G54" i="3"/>
  <c r="F54" i="3"/>
  <c r="D54" i="3"/>
  <c r="C54" i="3"/>
  <c r="O53" i="3"/>
  <c r="N53" i="3"/>
  <c r="M53" i="3"/>
  <c r="L53" i="3"/>
  <c r="K53" i="3"/>
  <c r="J53" i="3"/>
  <c r="I53" i="3"/>
  <c r="H53" i="3"/>
  <c r="G53" i="3"/>
  <c r="F53" i="3"/>
  <c r="D53" i="3"/>
  <c r="P53" i="3" s="1"/>
  <c r="C53" i="3"/>
  <c r="O52" i="3"/>
  <c r="N52" i="3"/>
  <c r="M52" i="3"/>
  <c r="L52" i="3"/>
  <c r="K52" i="3"/>
  <c r="J52" i="3"/>
  <c r="I52" i="3"/>
  <c r="H52" i="3"/>
  <c r="G52" i="3"/>
  <c r="F52" i="3"/>
  <c r="D52" i="3"/>
  <c r="C52" i="3"/>
  <c r="P52" i="3" s="1"/>
  <c r="O51" i="3"/>
  <c r="N51" i="3"/>
  <c r="M51" i="3"/>
  <c r="L51" i="3"/>
  <c r="K51" i="3"/>
  <c r="J51" i="3"/>
  <c r="I51" i="3"/>
  <c r="H51" i="3"/>
  <c r="G51" i="3"/>
  <c r="F51" i="3"/>
  <c r="D51" i="3"/>
  <c r="P51" i="3" s="1"/>
  <c r="C51" i="3"/>
  <c r="O50" i="3"/>
  <c r="N50" i="3"/>
  <c r="M50" i="3"/>
  <c r="L50" i="3"/>
  <c r="K50" i="3"/>
  <c r="J50" i="3"/>
  <c r="I50" i="3"/>
  <c r="H50" i="3"/>
  <c r="G50" i="3"/>
  <c r="F50" i="3"/>
  <c r="D50" i="3"/>
  <c r="C50" i="3"/>
  <c r="P50" i="3" s="1"/>
  <c r="O49" i="3"/>
  <c r="N49" i="3"/>
  <c r="M49" i="3"/>
  <c r="L49" i="3"/>
  <c r="K49" i="3"/>
  <c r="J49" i="3"/>
  <c r="I49" i="3"/>
  <c r="H49" i="3"/>
  <c r="G49" i="3"/>
  <c r="F49" i="3"/>
  <c r="D49" i="3"/>
  <c r="P49" i="3" s="1"/>
  <c r="C49" i="3"/>
  <c r="O48" i="3"/>
  <c r="N48" i="3"/>
  <c r="M48" i="3"/>
  <c r="L48" i="3"/>
  <c r="K48" i="3"/>
  <c r="J48" i="3"/>
  <c r="I48" i="3"/>
  <c r="H48" i="3"/>
  <c r="G48" i="3"/>
  <c r="F48" i="3"/>
  <c r="D48" i="3"/>
  <c r="C48" i="3"/>
  <c r="P48" i="3" s="1"/>
  <c r="O47" i="3"/>
  <c r="N47" i="3"/>
  <c r="M47" i="3"/>
  <c r="L47" i="3"/>
  <c r="K47" i="3"/>
  <c r="J47" i="3"/>
  <c r="I47" i="3"/>
  <c r="H47" i="3"/>
  <c r="G47" i="3"/>
  <c r="F47" i="3"/>
  <c r="D47" i="3"/>
  <c r="P47" i="3" s="1"/>
  <c r="C47" i="3"/>
  <c r="O46" i="3"/>
  <c r="N46" i="3"/>
  <c r="M46" i="3"/>
  <c r="L46" i="3"/>
  <c r="K46" i="3"/>
  <c r="J46" i="3"/>
  <c r="I46" i="3"/>
  <c r="H46" i="3"/>
  <c r="G46" i="3"/>
  <c r="F46" i="3"/>
  <c r="D46" i="3"/>
  <c r="C46" i="3"/>
  <c r="P46" i="3" s="1"/>
  <c r="O45" i="3"/>
  <c r="N45" i="3"/>
  <c r="M45" i="3"/>
  <c r="L45" i="3"/>
  <c r="K45" i="3"/>
  <c r="J45" i="3"/>
  <c r="I45" i="3"/>
  <c r="H45" i="3"/>
  <c r="G45" i="3"/>
  <c r="F45" i="3"/>
  <c r="D45" i="3"/>
  <c r="P45" i="3" s="1"/>
  <c r="C45" i="3"/>
  <c r="O44" i="3"/>
  <c r="N44" i="3"/>
  <c r="M44" i="3"/>
  <c r="L44" i="3"/>
  <c r="K44" i="3"/>
  <c r="J44" i="3"/>
  <c r="I44" i="3"/>
  <c r="H44" i="3"/>
  <c r="G44" i="3"/>
  <c r="F44" i="3"/>
  <c r="D44" i="3"/>
  <c r="C44" i="3"/>
  <c r="P44" i="3" s="1"/>
  <c r="O43" i="3"/>
  <c r="N43" i="3"/>
  <c r="M43" i="3"/>
  <c r="L43" i="3"/>
  <c r="K43" i="3"/>
  <c r="J43" i="3"/>
  <c r="I43" i="3"/>
  <c r="H43" i="3"/>
  <c r="G43" i="3"/>
  <c r="F43" i="3"/>
  <c r="D43" i="3"/>
  <c r="P43" i="3" s="1"/>
  <c r="C43" i="3"/>
  <c r="O42" i="3"/>
  <c r="N42" i="3"/>
  <c r="M42" i="3"/>
  <c r="L42" i="3"/>
  <c r="K42" i="3"/>
  <c r="J42" i="3"/>
  <c r="I42" i="3"/>
  <c r="H42" i="3"/>
  <c r="G42" i="3"/>
  <c r="F42" i="3"/>
  <c r="D42" i="3"/>
  <c r="C42" i="3"/>
  <c r="P42" i="3" s="1"/>
  <c r="O41" i="3"/>
  <c r="N41" i="3"/>
  <c r="M41" i="3"/>
  <c r="L41" i="3"/>
  <c r="K41" i="3"/>
  <c r="J41" i="3"/>
  <c r="I41" i="3"/>
  <c r="H41" i="3"/>
  <c r="G41" i="3"/>
  <c r="F41" i="3"/>
  <c r="D41" i="3"/>
  <c r="P41" i="3" s="1"/>
  <c r="C41" i="3"/>
  <c r="O40" i="3"/>
  <c r="N40" i="3"/>
  <c r="M40" i="3"/>
  <c r="L40" i="3"/>
  <c r="K40" i="3"/>
  <c r="J40" i="3"/>
  <c r="I40" i="3"/>
  <c r="H40" i="3"/>
  <c r="G40" i="3"/>
  <c r="F40" i="3"/>
  <c r="D40" i="3"/>
  <c r="C40" i="3"/>
  <c r="P40" i="3" s="1"/>
  <c r="O39" i="3"/>
  <c r="N39" i="3"/>
  <c r="M39" i="3"/>
  <c r="L39" i="3"/>
  <c r="K39" i="3"/>
  <c r="J39" i="3"/>
  <c r="I39" i="3"/>
  <c r="H39" i="3"/>
  <c r="G39" i="3"/>
  <c r="F39" i="3"/>
  <c r="D39" i="3"/>
  <c r="P39" i="3" s="1"/>
  <c r="C39" i="3"/>
  <c r="O38" i="3"/>
  <c r="N38" i="3"/>
  <c r="M38" i="3"/>
  <c r="L38" i="3"/>
  <c r="K38" i="3"/>
  <c r="J38" i="3"/>
  <c r="I38" i="3"/>
  <c r="H38" i="3"/>
  <c r="G38" i="3"/>
  <c r="F38" i="3"/>
  <c r="D38" i="3"/>
  <c r="C38" i="3"/>
  <c r="P38" i="3" s="1"/>
  <c r="O37" i="3"/>
  <c r="N37" i="3"/>
  <c r="M37" i="3"/>
  <c r="L37" i="3"/>
  <c r="K37" i="3"/>
  <c r="J37" i="3"/>
  <c r="I37" i="3"/>
  <c r="H37" i="3"/>
  <c r="G37" i="3"/>
  <c r="F37" i="3"/>
  <c r="D37" i="3"/>
  <c r="P37" i="3" s="1"/>
  <c r="C37" i="3"/>
  <c r="O36" i="3"/>
  <c r="N36" i="3"/>
  <c r="M36" i="3"/>
  <c r="L36" i="3"/>
  <c r="K36" i="3"/>
  <c r="J36" i="3"/>
  <c r="I36" i="3"/>
  <c r="H36" i="3"/>
  <c r="G36" i="3"/>
  <c r="F36" i="3"/>
  <c r="D36" i="3"/>
  <c r="C36" i="3"/>
  <c r="P36" i="3" s="1"/>
  <c r="O35" i="3"/>
  <c r="N35" i="3"/>
  <c r="M35" i="3"/>
  <c r="L35" i="3"/>
  <c r="K35" i="3"/>
  <c r="J35" i="3"/>
  <c r="I35" i="3"/>
  <c r="H35" i="3"/>
  <c r="G35" i="3"/>
  <c r="F35" i="3"/>
  <c r="D35" i="3"/>
  <c r="P35" i="3" s="1"/>
  <c r="C35" i="3"/>
  <c r="O34" i="3"/>
  <c r="N34" i="3"/>
  <c r="M34" i="3"/>
  <c r="L34" i="3"/>
  <c r="K34" i="3"/>
  <c r="J34" i="3"/>
  <c r="I34" i="3"/>
  <c r="H34" i="3"/>
  <c r="G34" i="3"/>
  <c r="F34" i="3"/>
  <c r="D34" i="3"/>
  <c r="C34" i="3"/>
  <c r="P34" i="3" s="1"/>
  <c r="O33" i="3"/>
  <c r="N33" i="3"/>
  <c r="M33" i="3"/>
  <c r="L33" i="3"/>
  <c r="K33" i="3"/>
  <c r="J33" i="3"/>
  <c r="I33" i="3"/>
  <c r="H33" i="3"/>
  <c r="G33" i="3"/>
  <c r="F33" i="3"/>
  <c r="D33" i="3"/>
  <c r="P33" i="3" s="1"/>
  <c r="C33" i="3"/>
  <c r="O32" i="3"/>
  <c r="N32" i="3"/>
  <c r="M32" i="3"/>
  <c r="L32" i="3"/>
  <c r="K32" i="3"/>
  <c r="J32" i="3"/>
  <c r="I32" i="3"/>
  <c r="H32" i="3"/>
  <c r="G32" i="3"/>
  <c r="F32" i="3"/>
  <c r="D32" i="3"/>
  <c r="C32" i="3"/>
  <c r="P32" i="3" s="1"/>
  <c r="O31" i="3"/>
  <c r="N31" i="3"/>
  <c r="M31" i="3"/>
  <c r="L31" i="3"/>
  <c r="K31" i="3"/>
  <c r="J31" i="3"/>
  <c r="I31" i="3"/>
  <c r="H31" i="3"/>
  <c r="G31" i="3"/>
  <c r="F31" i="3"/>
  <c r="D31" i="3"/>
  <c r="P31" i="3" s="1"/>
  <c r="C31" i="3"/>
  <c r="O30" i="3"/>
  <c r="N30" i="3"/>
  <c r="M30" i="3"/>
  <c r="L30" i="3"/>
  <c r="K30" i="3"/>
  <c r="J30" i="3"/>
  <c r="I30" i="3"/>
  <c r="H30" i="3"/>
  <c r="G30" i="3"/>
  <c r="F30" i="3"/>
  <c r="D30" i="3"/>
  <c r="C30" i="3"/>
  <c r="P30" i="3" s="1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O28" i="3"/>
  <c r="N28" i="3"/>
  <c r="M28" i="3"/>
  <c r="L28" i="3"/>
  <c r="K28" i="3"/>
  <c r="J28" i="3"/>
  <c r="I28" i="3"/>
  <c r="H28" i="3"/>
  <c r="G28" i="3"/>
  <c r="F28" i="3"/>
  <c r="D28" i="3"/>
  <c r="C28" i="3"/>
  <c r="P28" i="3" s="1"/>
  <c r="O27" i="3"/>
  <c r="N27" i="3"/>
  <c r="M27" i="3"/>
  <c r="L27" i="3"/>
  <c r="K27" i="3"/>
  <c r="J27" i="3"/>
  <c r="I27" i="3"/>
  <c r="H27" i="3"/>
  <c r="G27" i="3"/>
  <c r="F27" i="3"/>
  <c r="D27" i="3"/>
  <c r="P27" i="3" s="1"/>
  <c r="C27" i="3"/>
  <c r="O26" i="3"/>
  <c r="N26" i="3"/>
  <c r="M26" i="3"/>
  <c r="L26" i="3"/>
  <c r="K26" i="3"/>
  <c r="J26" i="3"/>
  <c r="I26" i="3"/>
  <c r="H26" i="3"/>
  <c r="G26" i="3"/>
  <c r="F26" i="3"/>
  <c r="D26" i="3"/>
  <c r="C26" i="3"/>
  <c r="P26" i="3" s="1"/>
  <c r="O25" i="3"/>
  <c r="N25" i="3"/>
  <c r="M25" i="3"/>
  <c r="L25" i="3"/>
  <c r="K25" i="3"/>
  <c r="J25" i="3"/>
  <c r="I25" i="3"/>
  <c r="H25" i="3"/>
  <c r="G25" i="3"/>
  <c r="F25" i="3"/>
  <c r="D25" i="3"/>
  <c r="P25" i="3" s="1"/>
  <c r="C25" i="3"/>
  <c r="O24" i="3"/>
  <c r="N24" i="3"/>
  <c r="M24" i="3"/>
  <c r="L24" i="3"/>
  <c r="K24" i="3"/>
  <c r="J24" i="3"/>
  <c r="I24" i="3"/>
  <c r="H24" i="3"/>
  <c r="G24" i="3"/>
  <c r="F24" i="3"/>
  <c r="D24" i="3"/>
  <c r="C24" i="3"/>
  <c r="P24" i="3" s="1"/>
  <c r="O23" i="3"/>
  <c r="N23" i="3"/>
  <c r="M23" i="3"/>
  <c r="L23" i="3"/>
  <c r="K23" i="3"/>
  <c r="J23" i="3"/>
  <c r="I23" i="3"/>
  <c r="H23" i="3"/>
  <c r="G23" i="3"/>
  <c r="F23" i="3"/>
  <c r="D23" i="3"/>
  <c r="P23" i="3" s="1"/>
  <c r="C23" i="3"/>
  <c r="O22" i="3"/>
  <c r="N22" i="3"/>
  <c r="M22" i="3"/>
  <c r="L22" i="3"/>
  <c r="K22" i="3"/>
  <c r="J22" i="3"/>
  <c r="I22" i="3"/>
  <c r="H22" i="3"/>
  <c r="G22" i="3"/>
  <c r="F22" i="3"/>
  <c r="D22" i="3"/>
  <c r="C22" i="3"/>
  <c r="P22" i="3" s="1"/>
  <c r="O21" i="3"/>
  <c r="N21" i="3"/>
  <c r="M21" i="3"/>
  <c r="L21" i="3"/>
  <c r="K21" i="3"/>
  <c r="J21" i="3"/>
  <c r="I21" i="3"/>
  <c r="H21" i="3"/>
  <c r="G21" i="3"/>
  <c r="F21" i="3"/>
  <c r="D21" i="3"/>
  <c r="P21" i="3" s="1"/>
  <c r="C21" i="3"/>
  <c r="O20" i="3"/>
  <c r="N20" i="3"/>
  <c r="M20" i="3"/>
  <c r="L20" i="3"/>
  <c r="K20" i="3"/>
  <c r="J20" i="3"/>
  <c r="I20" i="3"/>
  <c r="H20" i="3"/>
  <c r="G20" i="3"/>
  <c r="F20" i="3"/>
  <c r="D20" i="3"/>
  <c r="C20" i="3"/>
  <c r="P20" i="3" s="1"/>
  <c r="O19" i="3"/>
  <c r="N19" i="3"/>
  <c r="M19" i="3"/>
  <c r="L19" i="3"/>
  <c r="K19" i="3"/>
  <c r="J19" i="3"/>
  <c r="I19" i="3"/>
  <c r="H19" i="3"/>
  <c r="G19" i="3"/>
  <c r="F19" i="3"/>
  <c r="D19" i="3"/>
  <c r="P19" i="3" s="1"/>
  <c r="C19" i="3"/>
  <c r="O18" i="3"/>
  <c r="N18" i="3"/>
  <c r="M18" i="3"/>
  <c r="L18" i="3"/>
  <c r="K18" i="3"/>
  <c r="J18" i="3"/>
  <c r="I18" i="3"/>
  <c r="H18" i="3"/>
  <c r="G18" i="3"/>
  <c r="F18" i="3"/>
  <c r="D18" i="3"/>
  <c r="C18" i="3"/>
  <c r="P18" i="3" s="1"/>
  <c r="O17" i="3"/>
  <c r="N17" i="3"/>
  <c r="M17" i="3"/>
  <c r="L17" i="3"/>
  <c r="K17" i="3"/>
  <c r="J17" i="3"/>
  <c r="I17" i="3"/>
  <c r="H17" i="3"/>
  <c r="G17" i="3"/>
  <c r="F17" i="3"/>
  <c r="D17" i="3"/>
  <c r="P17" i="3" s="1"/>
  <c r="C17" i="3"/>
  <c r="O16" i="3"/>
  <c r="N16" i="3"/>
  <c r="M16" i="3"/>
  <c r="L16" i="3"/>
  <c r="K16" i="3"/>
  <c r="J16" i="3"/>
  <c r="I16" i="3"/>
  <c r="H16" i="3"/>
  <c r="G16" i="3"/>
  <c r="F16" i="3"/>
  <c r="D16" i="3"/>
  <c r="C16" i="3"/>
  <c r="P16" i="3" s="1"/>
  <c r="O15" i="3"/>
  <c r="N15" i="3"/>
  <c r="M15" i="3"/>
  <c r="L15" i="3"/>
  <c r="K15" i="3"/>
  <c r="J15" i="3"/>
  <c r="I15" i="3"/>
  <c r="H15" i="3"/>
  <c r="G15" i="3"/>
  <c r="F15" i="3"/>
  <c r="D15" i="3"/>
  <c r="P15" i="3" s="1"/>
  <c r="C15" i="3"/>
  <c r="O14" i="3"/>
  <c r="N14" i="3"/>
  <c r="M14" i="3"/>
  <c r="L14" i="3"/>
  <c r="K14" i="3"/>
  <c r="J14" i="3"/>
  <c r="I14" i="3"/>
  <c r="H14" i="3"/>
  <c r="G14" i="3"/>
  <c r="F14" i="3"/>
  <c r="D14" i="3"/>
  <c r="C14" i="3"/>
  <c r="P14" i="3" s="1"/>
  <c r="O13" i="3"/>
  <c r="N13" i="3"/>
  <c r="M13" i="3"/>
  <c r="L13" i="3"/>
  <c r="K13" i="3"/>
  <c r="J13" i="3"/>
  <c r="I13" i="3"/>
  <c r="H13" i="3"/>
  <c r="G13" i="3"/>
  <c r="F13" i="3"/>
  <c r="D13" i="3"/>
  <c r="C13" i="3"/>
  <c r="O12" i="3"/>
  <c r="N12" i="3"/>
  <c r="M12" i="3"/>
  <c r="L12" i="3"/>
  <c r="K12" i="3"/>
  <c r="J12" i="3"/>
  <c r="I12" i="3"/>
  <c r="H12" i="3"/>
  <c r="G12" i="3"/>
  <c r="F12" i="3"/>
  <c r="D12" i="3"/>
  <c r="C12" i="3"/>
  <c r="P12" i="3" s="1"/>
  <c r="O11" i="3"/>
  <c r="N11" i="3"/>
  <c r="M11" i="3"/>
  <c r="L11" i="3"/>
  <c r="K11" i="3"/>
  <c r="J11" i="3"/>
  <c r="I11" i="3"/>
  <c r="H11" i="3"/>
  <c r="G11" i="3"/>
  <c r="F11" i="3"/>
  <c r="D11" i="3"/>
  <c r="P11" i="3" s="1"/>
  <c r="C11" i="3"/>
  <c r="O10" i="3"/>
  <c r="N10" i="3"/>
  <c r="M10" i="3"/>
  <c r="L10" i="3"/>
  <c r="K10" i="3"/>
  <c r="J10" i="3"/>
  <c r="I10" i="3"/>
  <c r="H10" i="3"/>
  <c r="G10" i="3"/>
  <c r="F10" i="3"/>
  <c r="D10" i="3"/>
  <c r="C10" i="3"/>
  <c r="P10" i="3" s="1"/>
  <c r="O9" i="3"/>
  <c r="N9" i="3"/>
  <c r="M9" i="3"/>
  <c r="L9" i="3"/>
  <c r="K9" i="3"/>
  <c r="J9" i="3"/>
  <c r="I9" i="3"/>
  <c r="H9" i="3"/>
  <c r="G9" i="3"/>
  <c r="F9" i="3"/>
  <c r="D9" i="3"/>
  <c r="P9" i="3" s="1"/>
  <c r="C9" i="3"/>
  <c r="O8" i="3"/>
  <c r="N8" i="3"/>
  <c r="M8" i="3"/>
  <c r="L8" i="3"/>
  <c r="K8" i="3"/>
  <c r="J8" i="3"/>
  <c r="I8" i="3"/>
  <c r="H8" i="3"/>
  <c r="G8" i="3"/>
  <c r="F8" i="3"/>
  <c r="D8" i="3"/>
  <c r="C8" i="3"/>
  <c r="P8" i="3" s="1"/>
  <c r="O7" i="3"/>
  <c r="N7" i="3"/>
  <c r="M7" i="3"/>
  <c r="L7" i="3"/>
  <c r="K7" i="3"/>
  <c r="J7" i="3"/>
  <c r="I7" i="3"/>
  <c r="H7" i="3"/>
  <c r="G7" i="3"/>
  <c r="F7" i="3"/>
  <c r="D7" i="3"/>
  <c r="P7" i="3" s="1"/>
  <c r="C7" i="3"/>
  <c r="O6" i="3"/>
  <c r="N6" i="3"/>
  <c r="M6" i="3"/>
  <c r="L6" i="3"/>
  <c r="K6" i="3"/>
  <c r="J6" i="3"/>
  <c r="I6" i="3"/>
  <c r="H6" i="3"/>
  <c r="G6" i="3"/>
  <c r="F6" i="3"/>
  <c r="D6" i="3"/>
  <c r="C6" i="3"/>
  <c r="P6" i="3" s="1"/>
  <c r="O5" i="3"/>
  <c r="N5" i="3"/>
  <c r="M5" i="3"/>
  <c r="L5" i="3"/>
  <c r="K5" i="3"/>
  <c r="J5" i="3"/>
  <c r="I5" i="3"/>
  <c r="H5" i="3"/>
  <c r="G5" i="3"/>
  <c r="F5" i="3"/>
  <c r="D5" i="3"/>
  <c r="P5" i="3" s="1"/>
  <c r="C5" i="3"/>
  <c r="O4" i="3"/>
  <c r="N4" i="3"/>
  <c r="M4" i="3"/>
  <c r="L4" i="3"/>
  <c r="K4" i="3"/>
  <c r="J4" i="3"/>
  <c r="I4" i="3"/>
  <c r="H4" i="3"/>
  <c r="G4" i="3"/>
  <c r="F4" i="3"/>
  <c r="D4" i="3"/>
  <c r="C4" i="3"/>
  <c r="P4" i="3" s="1"/>
  <c r="O3" i="3"/>
  <c r="N3" i="3"/>
  <c r="M3" i="3"/>
  <c r="L3" i="3"/>
  <c r="K3" i="3"/>
  <c r="J3" i="3"/>
  <c r="I3" i="3"/>
  <c r="H3" i="3"/>
  <c r="G3" i="3"/>
  <c r="F3" i="3"/>
  <c r="D3" i="3"/>
  <c r="P3" i="3" s="1"/>
  <c r="C3" i="3"/>
  <c r="O2" i="3"/>
  <c r="N2" i="3"/>
  <c r="M2" i="3"/>
  <c r="L2" i="3"/>
  <c r="K2" i="3"/>
  <c r="J2" i="3"/>
  <c r="I2" i="3"/>
  <c r="H2" i="3"/>
  <c r="G2" i="3"/>
  <c r="F2" i="3"/>
  <c r="D2" i="3"/>
  <c r="C2" i="3"/>
  <c r="P54" i="3" l="1"/>
  <c r="P13" i="3"/>
  <c r="P1" i="4" l="1"/>
  <c r="P1" i="3"/>
  <c r="E107" i="3" l="1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</calcChain>
</file>

<file path=xl/sharedStrings.xml><?xml version="1.0" encoding="utf-8"?>
<sst xmlns="http://schemas.openxmlformats.org/spreadsheetml/2006/main" count="1896" uniqueCount="249">
  <si>
    <t>position_id</t>
  </si>
  <si>
    <t>layout_id</t>
  </si>
  <si>
    <t>key_number</t>
  </si>
  <si>
    <t>position_left</t>
  </si>
  <si>
    <t>position_top</t>
  </si>
  <si>
    <t>position_width</t>
  </si>
  <si>
    <t>position_height</t>
  </si>
  <si>
    <t>symbol_norm_cap</t>
  </si>
  <si>
    <t>symbol_norm_low</t>
  </si>
  <si>
    <t>symbol_altgr_cap</t>
  </si>
  <si>
    <t>symbol_altgr_low</t>
  </si>
  <si>
    <t>lowcap_optional</t>
  </si>
  <si>
    <t>numpad</t>
  </si>
  <si>
    <t>°</t>
  </si>
  <si>
    <t>^</t>
  </si>
  <si>
    <t>!</t>
  </si>
  <si>
    <t>#</t>
  </si>
  <si>
    <t>²</t>
  </si>
  <si>
    <t>§</t>
  </si>
  <si>
    <t>³</t>
  </si>
  <si>
    <t>$</t>
  </si>
  <si>
    <t>%</t>
  </si>
  <si>
    <t>&amp;</t>
  </si>
  <si>
    <t>/</t>
  </si>
  <si>
    <t>{</t>
  </si>
  <si>
    <t>(</t>
  </si>
  <si>
    <t>[</t>
  </si>
  <si>
    <t>)</t>
  </si>
  <si>
    <t>]</t>
  </si>
  <si>
    <t>=</t>
  </si>
  <si>
    <t>}</t>
  </si>
  <si>
    <t>?</t>
  </si>
  <si>
    <t>ß</t>
  </si>
  <si>
    <t>\</t>
  </si>
  <si>
    <t>`</t>
  </si>
  <si>
    <t>´</t>
  </si>
  <si>
    <t>Rückschrift</t>
  </si>
  <si>
    <t>Tabstopp</t>
  </si>
  <si>
    <t>Q</t>
  </si>
  <si>
    <t>q</t>
  </si>
  <si>
    <t>@</t>
  </si>
  <si>
    <t>W</t>
  </si>
  <si>
    <t>w</t>
  </si>
  <si>
    <t>E</t>
  </si>
  <si>
    <t>e</t>
  </si>
  <si>
    <t>€</t>
  </si>
  <si>
    <t>R</t>
  </si>
  <si>
    <t>r</t>
  </si>
  <si>
    <t>T</t>
  </si>
  <si>
    <t>t</t>
  </si>
  <si>
    <t>Z</t>
  </si>
  <si>
    <t>z</t>
  </si>
  <si>
    <t>U</t>
  </si>
  <si>
    <t>u</t>
  </si>
  <si>
    <t>I</t>
  </si>
  <si>
    <t>i</t>
  </si>
  <si>
    <t>O</t>
  </si>
  <si>
    <t>o</t>
  </si>
  <si>
    <t>P</t>
  </si>
  <si>
    <t>p</t>
  </si>
  <si>
    <t>Ü</t>
  </si>
  <si>
    <t>ü</t>
  </si>
  <si>
    <t>*</t>
  </si>
  <si>
    <t>+</t>
  </si>
  <si>
    <t>~</t>
  </si>
  <si>
    <t>Feststell</t>
  </si>
  <si>
    <t>A</t>
  </si>
  <si>
    <t>a</t>
  </si>
  <si>
    <t>S</t>
  </si>
  <si>
    <t>s</t>
  </si>
  <si>
    <t>D</t>
  </si>
  <si>
    <t>d</t>
  </si>
  <si>
    <t>F</t>
  </si>
  <si>
    <t>f</t>
  </si>
  <si>
    <t>G</t>
  </si>
  <si>
    <t>g</t>
  </si>
  <si>
    <t>H</t>
  </si>
  <si>
    <t>h</t>
  </si>
  <si>
    <t>J</t>
  </si>
  <si>
    <t>j</t>
  </si>
  <si>
    <t>K</t>
  </si>
  <si>
    <t>k</t>
  </si>
  <si>
    <t>L</t>
  </si>
  <si>
    <t>l</t>
  </si>
  <si>
    <t>Ö</t>
  </si>
  <si>
    <t>ö</t>
  </si>
  <si>
    <t>Ä</t>
  </si>
  <si>
    <t>ä</t>
  </si>
  <si>
    <t>'</t>
  </si>
  <si>
    <t>Eingeben</t>
  </si>
  <si>
    <t>LUmschalt</t>
  </si>
  <si>
    <t>&gt;</t>
  </si>
  <si>
    <t>&lt;</t>
  </si>
  <si>
    <t>|</t>
  </si>
  <si>
    <t>Y</t>
  </si>
  <si>
    <t>y</t>
  </si>
  <si>
    <t>X</t>
  </si>
  <si>
    <t>x</t>
  </si>
  <si>
    <t>C</t>
  </si>
  <si>
    <t>c</t>
  </si>
  <si>
    <t>V</t>
  </si>
  <si>
    <t>v</t>
  </si>
  <si>
    <t>B</t>
  </si>
  <si>
    <t>b</t>
  </si>
  <si>
    <t>N</t>
  </si>
  <si>
    <t>n</t>
  </si>
  <si>
    <t>M</t>
  </si>
  <si>
    <t>m</t>
  </si>
  <si>
    <t>µ</t>
  </si>
  <si>
    <t>;</t>
  </si>
  <si>
    <t>,</t>
  </si>
  <si>
    <t>:</t>
  </si>
  <si>
    <t>.</t>
  </si>
  <si>
    <t>_</t>
  </si>
  <si>
    <t>-</t>
  </si>
  <si>
    <t>RUmschalt</t>
  </si>
  <si>
    <t>LStrg</t>
  </si>
  <si>
    <t>Alt</t>
  </si>
  <si>
    <t>Leer</t>
  </si>
  <si>
    <t>AltGr</t>
  </si>
  <si>
    <t>RStrg</t>
  </si>
  <si>
    <t>Einfg</t>
  </si>
  <si>
    <t>Entf</t>
  </si>
  <si>
    <t>Links</t>
  </si>
  <si>
    <t>Pos 1</t>
  </si>
  <si>
    <t>Ende</t>
  </si>
  <si>
    <t>Hoch</t>
  </si>
  <si>
    <t>Runter</t>
  </si>
  <si>
    <t>Bild↑</t>
  </si>
  <si>
    <t>Bild↓</t>
  </si>
  <si>
    <t>Rechts</t>
  </si>
  <si>
    <t>Num</t>
  </si>
  <si>
    <t>÷</t>
  </si>
  <si>
    <t>×</t>
  </si>
  <si>
    <t>Esc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</si>
  <si>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</si>
  <si>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</si>
  <si>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</si>
  <si>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</si>
  <si>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</si>
  <si>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</si>
  <si>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</si>
  <si>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</si>
  <si>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</si>
  <si>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</si>
  <si>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</si>
  <si>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</si>
  <si>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Druck</t>
  </si>
  <si>
    <t>Rollen</t>
  </si>
  <si>
    <t>Pause</t>
  </si>
  <si>
    <t>LSuper</t>
  </si>
  <si>
    <t>RSuper</t>
  </si>
  <si>
    <t>Menü</t>
  </si>
  <si>
    <t>Key</t>
  </si>
  <si>
    <t>Key ID</t>
  </si>
  <si>
    <t>reserved</t>
  </si>
  <si>
    <t>blank</t>
  </si>
  <si>
    <t>LWin</t>
  </si>
  <si>
    <t>RWin</t>
  </si>
  <si>
    <t>ScrLk</t>
  </si>
  <si>
    <t>PrtSc</t>
  </si>
  <si>
    <t>Menu</t>
  </si>
  <si>
    <t>"</t>
  </si>
  <si>
    <t>Backspace</t>
  </si>
  <si>
    <t>Tab</t>
  </si>
  <si>
    <t>ğ</t>
  </si>
  <si>
    <t>Caps Lock</t>
  </si>
  <si>
    <t>Enter</t>
  </si>
  <si>
    <t>LShift</t>
  </si>
  <si>
    <t>RShift</t>
  </si>
  <si>
    <t>LCtrl</t>
  </si>
  <si>
    <t>RCtrl</t>
  </si>
  <si>
    <t>Insert</t>
  </si>
  <si>
    <t>Delete</t>
  </si>
  <si>
    <t>Left</t>
  </si>
  <si>
    <t>Home</t>
  </si>
  <si>
    <t>Up</t>
  </si>
  <si>
    <t>Down</t>
  </si>
  <si>
    <t>Page Up</t>
  </si>
  <si>
    <t>Right</t>
  </si>
  <si>
    <t>NumLk</t>
  </si>
  <si>
    <t>End</t>
  </si>
  <si>
    <t>Page Dn</t>
  </si>
  <si>
    <t>ş</t>
  </si>
  <si>
    <t>ı</t>
  </si>
  <si>
    <t>ç</t>
  </si>
  <si>
    <t>Space</t>
  </si>
  <si>
    <t>é</t>
  </si>
  <si>
    <t>Ğ</t>
  </si>
  <si>
    <t>Ş</t>
  </si>
  <si>
    <t>İ</t>
  </si>
  <si>
    <t>Ç</t>
  </si>
  <si>
    <t>Ein-geben</t>
  </si>
  <si>
    <t>£</t>
  </si>
  <si>
    <t>½</t>
  </si>
  <si>
    <t>₺</t>
  </si>
  <si>
    <t>¨</t>
  </si>
  <si>
    <t>æ</t>
  </si>
  <si>
    <t>Æ</t>
  </si>
  <si>
    <t>\"</t>
  </si>
  <si>
    <t>\\</t>
  </si>
  <si>
    <t>ì</t>
  </si>
  <si>
    <t>è</t>
  </si>
  <si>
    <t>ò</t>
  </si>
  <si>
    <t>à</t>
  </si>
  <si>
    <t>ù</t>
  </si>
  <si>
    <t>7</t>
  </si>
  <si>
    <t>4</t>
  </si>
  <si>
    <t>1</t>
  </si>
  <si>
    <t>8</t>
  </si>
  <si>
    <t>5</t>
  </si>
  <si>
    <t>2</t>
  </si>
  <si>
    <t>9</t>
  </si>
  <si>
    <t>6</t>
  </si>
  <si>
    <t>3</t>
  </si>
  <si>
    <t>0</t>
  </si>
  <si>
    <t>LAlt</t>
  </si>
  <si>
    <t>RAlt</t>
  </si>
  <si>
    <t>fn</t>
  </si>
  <si>
    <t>DeleteX</t>
  </si>
  <si>
    <t>Ins</t>
  </si>
  <si>
    <t>PgUp</t>
  </si>
  <si>
    <t>PgDn</t>
  </si>
  <si>
    <t>Del</t>
  </si>
  <si>
    <t>Bright -</t>
  </si>
  <si>
    <t>Bright +</t>
  </si>
  <si>
    <t>Exposé</t>
  </si>
  <si>
    <t>Dashbrd</t>
  </si>
  <si>
    <t>Track -</t>
  </si>
  <si>
    <t>Play</t>
  </si>
  <si>
    <t>Track +</t>
  </si>
  <si>
    <t>Mute</t>
  </si>
  <si>
    <t>Vol -</t>
  </si>
  <si>
    <t>Vol +</t>
  </si>
  <si>
    <t>LComm</t>
  </si>
  <si>
    <t>RComm</t>
  </si>
  <si>
    <t>F13</t>
  </si>
  <si>
    <t>F14</t>
  </si>
  <si>
    <t>F15</t>
  </si>
  <si>
    <t>F16</t>
  </si>
  <si>
    <t>F17</t>
  </si>
  <si>
    <t>F18</t>
  </si>
  <si>
    <t>F19</t>
  </si>
  <si>
    <t>Eject</t>
  </si>
  <si>
    <t>\'</t>
  </si>
  <si>
    <t>Clear</t>
  </si>
  <si>
    <t>Reserved</t>
  </si>
  <si>
    <t>990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</si>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</sst>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rgb="FF535353"/>
      <name val="Arial"/>
      <family val="2"/>
      <charset val="1"/>
    </font>
    <font>
      <sz val="11"/>
      <color rgb="FF535353"/>
      <name val="Calibri"/>
      <family val="2"/>
      <charset val="1"/>
    </font>
    <font>
      <sz val="10"/>
      <color rgb="FF1F4E79"/>
      <name val="Arial"/>
      <family val="2"/>
      <charset val="1"/>
    </font>
    <font>
      <sz val="10"/>
      <color theme="5" tint="-0.499984740745262"/>
      <name val="Calibri Light"/>
      <family val="2"/>
    </font>
    <font>
      <sz val="10"/>
      <color theme="8" tint="-0.499984740745262"/>
      <name val="Arial"/>
      <family val="2"/>
      <charset val="1"/>
    </font>
    <font>
      <sz val="11"/>
      <color theme="5" tint="-0.499984740745262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48118533890809E-2"/>
        <bgColor rgb="FFBDD7EE"/>
      </patternFill>
    </fill>
    <fill>
      <patternFill patternType="solid">
        <fgColor theme="6" tint="0.79998168889431442"/>
        <bgColor rgb="FFF2F2F2"/>
      </patternFill>
    </fill>
    <fill>
      <patternFill patternType="solid">
        <fgColor rgb="FFDEEBF7"/>
        <bgColor rgb="FFEDEDED"/>
      </patternFill>
    </fill>
    <fill>
      <patternFill patternType="solid">
        <fgColor theme="5" tint="0.79998168889431442"/>
        <bgColor rgb="FFEDEDED"/>
      </patternFill>
    </fill>
    <fill>
      <patternFill patternType="solid">
        <fgColor theme="8" tint="0.79998168889431442"/>
        <bgColor rgb="FFEDEDED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EDEDED"/>
      </patternFill>
    </fill>
    <fill>
      <patternFill patternType="solid">
        <fgColor rgb="FFFFFF00"/>
        <bgColor rgb="FFF2F2F2"/>
      </patternFill>
    </fill>
  </fills>
  <borders count="5">
    <border>
      <left/>
      <right/>
      <top/>
      <bottom/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/>
      <right style="thin">
        <color rgb="FFC9C9C9"/>
      </right>
      <top/>
      <bottom style="thin">
        <color rgb="FFC9C9C9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1" fillId="2" borderId="1" xfId="0" applyNumberFormat="1" applyFont="1" applyFill="1" applyBorder="1"/>
    <xf numFmtId="49" fontId="2" fillId="3" borderId="2" xfId="0" applyNumberFormat="1" applyFont="1" applyFill="1" applyBorder="1" applyProtection="1">
      <protection locked="0"/>
    </xf>
    <xf numFmtId="49" fontId="2" fillId="3" borderId="2" xfId="0" quotePrefix="1" applyNumberFormat="1" applyFont="1" applyFill="1" applyBorder="1" applyProtection="1">
      <protection locked="0"/>
    </xf>
    <xf numFmtId="49" fontId="3" fillId="4" borderId="3" xfId="0" applyNumberFormat="1" applyFont="1" applyFill="1" applyBorder="1"/>
    <xf numFmtId="0" fontId="4" fillId="5" borderId="4" xfId="0" applyFont="1" applyFill="1" applyBorder="1"/>
    <xf numFmtId="0" fontId="5" fillId="6" borderId="3" xfId="0" applyFont="1" applyFill="1" applyBorder="1"/>
    <xf numFmtId="0" fontId="6" fillId="7" borderId="0" xfId="0" applyFont="1" applyFill="1"/>
    <xf numFmtId="0" fontId="5" fillId="8" borderId="3" xfId="0" applyFont="1" applyFill="1" applyBorder="1"/>
    <xf numFmtId="49" fontId="2" fillId="9" borderId="2" xfId="0" applyNumberFormat="1" applyFont="1" applyFill="1" applyBorder="1" applyProtection="1">
      <protection locked="0"/>
    </xf>
    <xf numFmtId="49" fontId="2" fillId="9" borderId="2" xfId="0" quotePrefix="1" applyNumberFormat="1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50F-D80C-428F-A832-1B4934D92FBB}">
  <sheetPr codeName="Sheet1"/>
  <dimension ref="A1:L119"/>
  <sheetViews>
    <sheetView workbookViewId="0">
      <pane xSplit="2" ySplit="1" topLeftCell="C95" activePane="bottomRight" state="frozen"/>
      <selection pane="topRight" activeCell="C1" sqref="C1"/>
      <selection pane="bottomLeft" activeCell="A2" sqref="A2"/>
      <selection pane="bottomRight" activeCell="A108" sqref="A108:B119"/>
    </sheetView>
  </sheetViews>
  <sheetFormatPr defaultRowHeight="14.4" x14ac:dyDescent="0.3"/>
  <sheetData>
    <row r="1" spans="1:12" x14ac:dyDescent="0.3">
      <c r="A1" s="1" t="s">
        <v>153</v>
      </c>
      <c r="B1" s="1" t="s">
        <v>154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</row>
    <row r="2" spans="1:12" x14ac:dyDescent="0.3">
      <c r="A2" s="1" t="s">
        <v>14</v>
      </c>
      <c r="B2" s="1">
        <f t="shared" ref="B2:B65" si="0">ROW(B2)-1</f>
        <v>1</v>
      </c>
      <c r="C2" s="2">
        <v>0</v>
      </c>
      <c r="D2" s="2">
        <v>108</v>
      </c>
      <c r="E2" s="2">
        <v>72</v>
      </c>
      <c r="F2" s="2">
        <v>72</v>
      </c>
      <c r="G2" s="2" t="s">
        <v>13</v>
      </c>
      <c r="H2" s="2" t="s">
        <v>14</v>
      </c>
      <c r="I2" s="2"/>
      <c r="J2" s="2"/>
      <c r="K2" s="2">
        <v>0</v>
      </c>
      <c r="L2" s="2">
        <v>0</v>
      </c>
    </row>
    <row r="3" spans="1:12" x14ac:dyDescent="0.3">
      <c r="A3" s="1">
        <v>1</v>
      </c>
      <c r="B3" s="1">
        <f t="shared" si="0"/>
        <v>2</v>
      </c>
      <c r="C3" s="2">
        <v>72</v>
      </c>
      <c r="D3" s="2">
        <v>108</v>
      </c>
      <c r="E3" s="2">
        <v>72</v>
      </c>
      <c r="F3" s="2">
        <v>72</v>
      </c>
      <c r="G3" s="2" t="s">
        <v>15</v>
      </c>
      <c r="H3" s="2">
        <v>1</v>
      </c>
      <c r="I3" s="2"/>
      <c r="J3" s="2"/>
      <c r="K3" s="2">
        <v>0</v>
      </c>
      <c r="L3" s="2">
        <v>0</v>
      </c>
    </row>
    <row r="4" spans="1:12" x14ac:dyDescent="0.3">
      <c r="A4" s="1">
        <v>2</v>
      </c>
      <c r="B4" s="1">
        <f t="shared" si="0"/>
        <v>3</v>
      </c>
      <c r="C4" s="2">
        <v>144</v>
      </c>
      <c r="D4" s="2">
        <v>108</v>
      </c>
      <c r="E4" s="2">
        <v>72</v>
      </c>
      <c r="F4" s="2">
        <v>72</v>
      </c>
      <c r="G4" s="9" t="s">
        <v>199</v>
      </c>
      <c r="H4" s="2">
        <v>2</v>
      </c>
      <c r="I4" s="2"/>
      <c r="J4" s="2" t="s">
        <v>17</v>
      </c>
      <c r="K4" s="2">
        <v>0</v>
      </c>
      <c r="L4" s="2">
        <v>0</v>
      </c>
    </row>
    <row r="5" spans="1:12" x14ac:dyDescent="0.3">
      <c r="A5" s="1">
        <v>3</v>
      </c>
      <c r="B5" s="1">
        <f t="shared" si="0"/>
        <v>4</v>
      </c>
      <c r="C5" s="2">
        <v>216</v>
      </c>
      <c r="D5" s="2">
        <v>108</v>
      </c>
      <c r="E5" s="2">
        <v>72</v>
      </c>
      <c r="F5" s="2">
        <v>72</v>
      </c>
      <c r="G5" s="2" t="s">
        <v>18</v>
      </c>
      <c r="H5" s="2">
        <v>3</v>
      </c>
      <c r="I5" s="2"/>
      <c r="J5" s="2" t="s">
        <v>19</v>
      </c>
      <c r="K5" s="2">
        <v>0</v>
      </c>
      <c r="L5" s="2">
        <v>0</v>
      </c>
    </row>
    <row r="6" spans="1:12" x14ac:dyDescent="0.3">
      <c r="A6" s="1">
        <v>4</v>
      </c>
      <c r="B6" s="1">
        <f t="shared" si="0"/>
        <v>5</v>
      </c>
      <c r="C6" s="2">
        <v>288</v>
      </c>
      <c r="D6" s="2">
        <v>108</v>
      </c>
      <c r="E6" s="2">
        <v>72</v>
      </c>
      <c r="F6" s="2">
        <v>72</v>
      </c>
      <c r="G6" s="2" t="s">
        <v>20</v>
      </c>
      <c r="H6" s="2">
        <v>4</v>
      </c>
      <c r="I6" s="2"/>
      <c r="J6" s="2"/>
      <c r="K6" s="2">
        <v>0</v>
      </c>
      <c r="L6" s="2">
        <v>0</v>
      </c>
    </row>
    <row r="7" spans="1:12" x14ac:dyDescent="0.3">
      <c r="A7" s="1">
        <v>5</v>
      </c>
      <c r="B7" s="1">
        <f t="shared" si="0"/>
        <v>6</v>
      </c>
      <c r="C7" s="2">
        <v>360</v>
      </c>
      <c r="D7" s="2">
        <v>108</v>
      </c>
      <c r="E7" s="2">
        <v>72</v>
      </c>
      <c r="F7" s="2">
        <v>72</v>
      </c>
      <c r="G7" s="2" t="s">
        <v>21</v>
      </c>
      <c r="H7" s="2">
        <v>5</v>
      </c>
      <c r="I7" s="2"/>
      <c r="J7" s="2"/>
      <c r="K7" s="2">
        <v>0</v>
      </c>
      <c r="L7" s="2">
        <v>0</v>
      </c>
    </row>
    <row r="8" spans="1:12" x14ac:dyDescent="0.3">
      <c r="A8" s="1">
        <v>6</v>
      </c>
      <c r="B8" s="1">
        <f t="shared" si="0"/>
        <v>7</v>
      </c>
      <c r="C8" s="2">
        <v>432</v>
      </c>
      <c r="D8" s="2">
        <v>108</v>
      </c>
      <c r="E8" s="2">
        <v>72</v>
      </c>
      <c r="F8" s="2">
        <v>72</v>
      </c>
      <c r="G8" s="2" t="s">
        <v>22</v>
      </c>
      <c r="H8" s="2">
        <v>6</v>
      </c>
      <c r="I8" s="2"/>
      <c r="J8" s="2"/>
      <c r="K8" s="2">
        <v>0</v>
      </c>
      <c r="L8" s="2">
        <v>0</v>
      </c>
    </row>
    <row r="9" spans="1:12" x14ac:dyDescent="0.3">
      <c r="A9" s="1">
        <v>7</v>
      </c>
      <c r="B9" s="1">
        <f t="shared" si="0"/>
        <v>8</v>
      </c>
      <c r="C9" s="2">
        <v>504</v>
      </c>
      <c r="D9" s="2">
        <v>108</v>
      </c>
      <c r="E9" s="2">
        <v>72</v>
      </c>
      <c r="F9" s="2">
        <v>72</v>
      </c>
      <c r="G9" s="2" t="s">
        <v>23</v>
      </c>
      <c r="H9" s="2">
        <v>7</v>
      </c>
      <c r="I9" s="2"/>
      <c r="J9" s="2" t="s">
        <v>24</v>
      </c>
      <c r="K9" s="2">
        <v>0</v>
      </c>
      <c r="L9" s="2">
        <v>0</v>
      </c>
    </row>
    <row r="10" spans="1:12" x14ac:dyDescent="0.3">
      <c r="A10" s="1">
        <v>8</v>
      </c>
      <c r="B10" s="1">
        <f t="shared" si="0"/>
        <v>9</v>
      </c>
      <c r="C10" s="2">
        <v>576</v>
      </c>
      <c r="D10" s="2">
        <v>108</v>
      </c>
      <c r="E10" s="2">
        <v>72</v>
      </c>
      <c r="F10" s="2">
        <v>72</v>
      </c>
      <c r="G10" s="2" t="s">
        <v>25</v>
      </c>
      <c r="H10" s="2">
        <v>8</v>
      </c>
      <c r="I10" s="2"/>
      <c r="J10" s="2" t="s">
        <v>26</v>
      </c>
      <c r="K10" s="2">
        <v>0</v>
      </c>
      <c r="L10" s="2">
        <v>0</v>
      </c>
    </row>
    <row r="11" spans="1:12" x14ac:dyDescent="0.3">
      <c r="A11" s="1">
        <v>9</v>
      </c>
      <c r="B11" s="1">
        <f t="shared" si="0"/>
        <v>10</v>
      </c>
      <c r="C11" s="2">
        <v>648</v>
      </c>
      <c r="D11" s="2">
        <v>108</v>
      </c>
      <c r="E11" s="2">
        <v>72</v>
      </c>
      <c r="F11" s="2">
        <v>72</v>
      </c>
      <c r="G11" s="2" t="s">
        <v>27</v>
      </c>
      <c r="H11" s="2">
        <v>9</v>
      </c>
      <c r="I11" s="2"/>
      <c r="J11" s="2" t="s">
        <v>28</v>
      </c>
      <c r="K11" s="2">
        <v>0</v>
      </c>
      <c r="L11" s="2">
        <v>0</v>
      </c>
    </row>
    <row r="12" spans="1:12" x14ac:dyDescent="0.3">
      <c r="A12" s="1">
        <v>0</v>
      </c>
      <c r="B12" s="1">
        <f t="shared" si="0"/>
        <v>11</v>
      </c>
      <c r="C12" s="2">
        <v>720</v>
      </c>
      <c r="D12" s="2">
        <v>108</v>
      </c>
      <c r="E12" s="2">
        <v>72</v>
      </c>
      <c r="F12" s="2">
        <v>72</v>
      </c>
      <c r="G12" s="2" t="s">
        <v>29</v>
      </c>
      <c r="H12" s="2">
        <v>0</v>
      </c>
      <c r="I12" s="2"/>
      <c r="J12" s="2" t="s">
        <v>30</v>
      </c>
      <c r="K12" s="2">
        <v>0</v>
      </c>
      <c r="L12" s="2">
        <v>0</v>
      </c>
    </row>
    <row r="13" spans="1:12" x14ac:dyDescent="0.3">
      <c r="A13" s="1" t="s">
        <v>32</v>
      </c>
      <c r="B13" s="1">
        <f t="shared" si="0"/>
        <v>12</v>
      </c>
      <c r="C13" s="2">
        <v>792</v>
      </c>
      <c r="D13" s="2">
        <v>108</v>
      </c>
      <c r="E13" s="2">
        <v>72</v>
      </c>
      <c r="F13" s="2">
        <v>72</v>
      </c>
      <c r="G13" s="2" t="s">
        <v>31</v>
      </c>
      <c r="H13" s="2" t="s">
        <v>32</v>
      </c>
      <c r="I13" s="2"/>
      <c r="J13" s="9" t="s">
        <v>200</v>
      </c>
      <c r="K13" s="2">
        <v>0</v>
      </c>
      <c r="L13" s="2">
        <v>0</v>
      </c>
    </row>
    <row r="14" spans="1:12" x14ac:dyDescent="0.3">
      <c r="A14" s="1" t="s">
        <v>35</v>
      </c>
      <c r="B14" s="1">
        <f t="shared" si="0"/>
        <v>13</v>
      </c>
      <c r="C14" s="2">
        <v>864</v>
      </c>
      <c r="D14" s="2">
        <v>108</v>
      </c>
      <c r="E14" s="2">
        <v>72</v>
      </c>
      <c r="F14" s="2">
        <v>72</v>
      </c>
      <c r="G14" s="2" t="s">
        <v>34</v>
      </c>
      <c r="H14" s="2" t="s">
        <v>35</v>
      </c>
      <c r="I14" s="2"/>
      <c r="J14" s="2"/>
      <c r="K14" s="2">
        <v>0</v>
      </c>
      <c r="L14" s="2">
        <v>0</v>
      </c>
    </row>
    <row r="15" spans="1:12" x14ac:dyDescent="0.3">
      <c r="A15" s="1" t="s">
        <v>36</v>
      </c>
      <c r="B15" s="1">
        <f t="shared" si="0"/>
        <v>14</v>
      </c>
      <c r="C15" s="2">
        <v>936</v>
      </c>
      <c r="D15" s="2">
        <v>108</v>
      </c>
      <c r="E15" s="2">
        <v>144</v>
      </c>
      <c r="F15" s="2">
        <v>72</v>
      </c>
      <c r="G15" s="2"/>
      <c r="H15" s="2" t="s">
        <v>36</v>
      </c>
      <c r="I15" s="2"/>
      <c r="J15" s="2"/>
      <c r="K15" s="2">
        <v>0</v>
      </c>
      <c r="L15" s="2">
        <v>0</v>
      </c>
    </row>
    <row r="16" spans="1:12" x14ac:dyDescent="0.3">
      <c r="A16" s="1" t="s">
        <v>37</v>
      </c>
      <c r="B16" s="1">
        <f t="shared" si="0"/>
        <v>15</v>
      </c>
      <c r="C16" s="2">
        <v>0</v>
      </c>
      <c r="D16" s="2">
        <v>180</v>
      </c>
      <c r="E16" s="2">
        <v>108</v>
      </c>
      <c r="F16" s="2">
        <v>72</v>
      </c>
      <c r="G16" s="2"/>
      <c r="H16" s="2" t="s">
        <v>37</v>
      </c>
      <c r="I16" s="2"/>
      <c r="J16" s="2"/>
      <c r="K16" s="2">
        <v>0</v>
      </c>
      <c r="L16" s="2">
        <v>0</v>
      </c>
    </row>
    <row r="17" spans="1:12" x14ac:dyDescent="0.3">
      <c r="A17" s="1" t="s">
        <v>39</v>
      </c>
      <c r="B17" s="1">
        <f t="shared" si="0"/>
        <v>16</v>
      </c>
      <c r="C17" s="2">
        <v>108</v>
      </c>
      <c r="D17" s="2">
        <v>180</v>
      </c>
      <c r="E17" s="2">
        <v>72</v>
      </c>
      <c r="F17" s="2">
        <v>72</v>
      </c>
      <c r="G17" s="2" t="s">
        <v>38</v>
      </c>
      <c r="H17" s="2" t="s">
        <v>39</v>
      </c>
      <c r="I17" s="2"/>
      <c r="J17" s="2" t="s">
        <v>40</v>
      </c>
      <c r="K17" s="2">
        <v>1</v>
      </c>
      <c r="L17" s="2">
        <v>0</v>
      </c>
    </row>
    <row r="18" spans="1:12" x14ac:dyDescent="0.3">
      <c r="A18" s="1" t="s">
        <v>42</v>
      </c>
      <c r="B18" s="1">
        <f t="shared" si="0"/>
        <v>17</v>
      </c>
      <c r="C18" s="2">
        <v>180</v>
      </c>
      <c r="D18" s="2">
        <v>180</v>
      </c>
      <c r="E18" s="2">
        <v>72</v>
      </c>
      <c r="F18" s="2">
        <v>72</v>
      </c>
      <c r="G18" s="2" t="s">
        <v>41</v>
      </c>
      <c r="H18" s="2" t="s">
        <v>42</v>
      </c>
      <c r="I18" s="2"/>
      <c r="J18" s="2"/>
      <c r="K18" s="2">
        <v>1</v>
      </c>
      <c r="L18" s="2">
        <v>0</v>
      </c>
    </row>
    <row r="19" spans="1:12" x14ac:dyDescent="0.3">
      <c r="A19" s="1" t="s">
        <v>44</v>
      </c>
      <c r="B19" s="1">
        <f t="shared" si="0"/>
        <v>18</v>
      </c>
      <c r="C19" s="2">
        <v>252</v>
      </c>
      <c r="D19" s="2">
        <v>180</v>
      </c>
      <c r="E19" s="2">
        <v>72</v>
      </c>
      <c r="F19" s="2">
        <v>72</v>
      </c>
      <c r="G19" s="2" t="s">
        <v>43</v>
      </c>
      <c r="H19" s="2" t="s">
        <v>44</v>
      </c>
      <c r="I19" s="2"/>
      <c r="J19" s="2" t="s">
        <v>45</v>
      </c>
      <c r="K19" s="2">
        <v>1</v>
      </c>
      <c r="L19" s="2">
        <v>0</v>
      </c>
    </row>
    <row r="20" spans="1:12" x14ac:dyDescent="0.3">
      <c r="A20" s="1" t="s">
        <v>47</v>
      </c>
      <c r="B20" s="1">
        <f t="shared" si="0"/>
        <v>19</v>
      </c>
      <c r="C20" s="2">
        <v>324</v>
      </c>
      <c r="D20" s="2">
        <v>180</v>
      </c>
      <c r="E20" s="2">
        <v>72</v>
      </c>
      <c r="F20" s="2">
        <v>72</v>
      </c>
      <c r="G20" s="2" t="s">
        <v>46</v>
      </c>
      <c r="H20" s="2" t="s">
        <v>47</v>
      </c>
      <c r="I20" s="2"/>
      <c r="J20" s="2"/>
      <c r="K20" s="2">
        <v>1</v>
      </c>
      <c r="L20" s="2">
        <v>0</v>
      </c>
    </row>
    <row r="21" spans="1:12" x14ac:dyDescent="0.3">
      <c r="A21" s="1" t="s">
        <v>49</v>
      </c>
      <c r="B21" s="1">
        <f t="shared" si="0"/>
        <v>20</v>
      </c>
      <c r="C21" s="2">
        <v>396</v>
      </c>
      <c r="D21" s="2">
        <v>180</v>
      </c>
      <c r="E21" s="2">
        <v>72</v>
      </c>
      <c r="F21" s="2">
        <v>72</v>
      </c>
      <c r="G21" s="2" t="s">
        <v>48</v>
      </c>
      <c r="H21" s="2" t="s">
        <v>49</v>
      </c>
      <c r="I21" s="2"/>
      <c r="J21" s="2"/>
      <c r="K21" s="2">
        <v>1</v>
      </c>
      <c r="L21" s="2">
        <v>0</v>
      </c>
    </row>
    <row r="22" spans="1:12" x14ac:dyDescent="0.3">
      <c r="A22" s="1" t="s">
        <v>51</v>
      </c>
      <c r="B22" s="1">
        <f t="shared" si="0"/>
        <v>21</v>
      </c>
      <c r="C22" s="2">
        <v>468</v>
      </c>
      <c r="D22" s="2">
        <v>180</v>
      </c>
      <c r="E22" s="2">
        <v>72</v>
      </c>
      <c r="F22" s="2">
        <v>72</v>
      </c>
      <c r="G22" s="2" t="s">
        <v>50</v>
      </c>
      <c r="H22" s="2" t="s">
        <v>51</v>
      </c>
      <c r="I22" s="2"/>
      <c r="J22" s="2"/>
      <c r="K22" s="2">
        <v>1</v>
      </c>
      <c r="L22" s="2">
        <v>0</v>
      </c>
    </row>
    <row r="23" spans="1:12" x14ac:dyDescent="0.3">
      <c r="A23" s="1" t="s">
        <v>53</v>
      </c>
      <c r="B23" s="1">
        <f t="shared" si="0"/>
        <v>22</v>
      </c>
      <c r="C23" s="2">
        <v>540</v>
      </c>
      <c r="D23" s="2">
        <v>180</v>
      </c>
      <c r="E23" s="2">
        <v>72</v>
      </c>
      <c r="F23" s="2">
        <v>72</v>
      </c>
      <c r="G23" s="2" t="s">
        <v>52</v>
      </c>
      <c r="H23" s="2" t="s">
        <v>53</v>
      </c>
      <c r="I23" s="2"/>
      <c r="J23" s="2"/>
      <c r="K23" s="2">
        <v>1</v>
      </c>
      <c r="L23" s="2">
        <v>0</v>
      </c>
    </row>
    <row r="24" spans="1:12" x14ac:dyDescent="0.3">
      <c r="A24" s="1" t="s">
        <v>55</v>
      </c>
      <c r="B24" s="1">
        <f t="shared" si="0"/>
        <v>23</v>
      </c>
      <c r="C24" s="2">
        <v>612</v>
      </c>
      <c r="D24" s="2">
        <v>180</v>
      </c>
      <c r="E24" s="2">
        <v>72</v>
      </c>
      <c r="F24" s="2">
        <v>72</v>
      </c>
      <c r="G24" s="2" t="s">
        <v>54</v>
      </c>
      <c r="H24" s="2" t="s">
        <v>55</v>
      </c>
      <c r="I24" s="2"/>
      <c r="J24" s="2"/>
      <c r="K24" s="2">
        <v>1</v>
      </c>
      <c r="L24" s="2">
        <v>0</v>
      </c>
    </row>
    <row r="25" spans="1:12" x14ac:dyDescent="0.3">
      <c r="A25" s="1" t="s">
        <v>57</v>
      </c>
      <c r="B25" s="1">
        <f t="shared" si="0"/>
        <v>24</v>
      </c>
      <c r="C25" s="2">
        <v>684</v>
      </c>
      <c r="D25" s="2">
        <v>180</v>
      </c>
      <c r="E25" s="2">
        <v>72</v>
      </c>
      <c r="F25" s="2">
        <v>72</v>
      </c>
      <c r="G25" s="2" t="s">
        <v>56</v>
      </c>
      <c r="H25" s="2" t="s">
        <v>57</v>
      </c>
      <c r="I25" s="2"/>
      <c r="J25" s="2"/>
      <c r="K25" s="2">
        <v>1</v>
      </c>
      <c r="L25" s="2">
        <v>0</v>
      </c>
    </row>
    <row r="26" spans="1:12" x14ac:dyDescent="0.3">
      <c r="A26" s="1" t="s">
        <v>59</v>
      </c>
      <c r="B26" s="1">
        <f t="shared" si="0"/>
        <v>25</v>
      </c>
      <c r="C26" s="2">
        <v>756</v>
      </c>
      <c r="D26" s="2">
        <v>180</v>
      </c>
      <c r="E26" s="2">
        <v>72</v>
      </c>
      <c r="F26" s="2">
        <v>72</v>
      </c>
      <c r="G26" s="2" t="s">
        <v>58</v>
      </c>
      <c r="H26" s="2" t="s">
        <v>59</v>
      </c>
      <c r="I26" s="2"/>
      <c r="J26" s="2"/>
      <c r="K26" s="2">
        <v>1</v>
      </c>
      <c r="L26" s="2">
        <v>0</v>
      </c>
    </row>
    <row r="27" spans="1:12" x14ac:dyDescent="0.3">
      <c r="A27" s="1" t="s">
        <v>61</v>
      </c>
      <c r="B27" s="1">
        <f t="shared" si="0"/>
        <v>26</v>
      </c>
      <c r="C27" s="2">
        <v>828</v>
      </c>
      <c r="D27" s="2">
        <v>180</v>
      </c>
      <c r="E27" s="2">
        <v>72</v>
      </c>
      <c r="F27" s="2">
        <v>72</v>
      </c>
      <c r="G27" s="2" t="s">
        <v>60</v>
      </c>
      <c r="H27" s="2" t="s">
        <v>61</v>
      </c>
      <c r="I27" s="2"/>
      <c r="J27" s="2"/>
      <c r="K27" s="2">
        <v>1</v>
      </c>
      <c r="L27" s="2">
        <v>0</v>
      </c>
    </row>
    <row r="28" spans="1:12" x14ac:dyDescent="0.3">
      <c r="A28" s="1" t="s">
        <v>63</v>
      </c>
      <c r="B28" s="1">
        <f t="shared" si="0"/>
        <v>27</v>
      </c>
      <c r="C28" s="2">
        <v>900</v>
      </c>
      <c r="D28" s="2">
        <v>180</v>
      </c>
      <c r="E28" s="2">
        <v>72</v>
      </c>
      <c r="F28" s="2">
        <v>72</v>
      </c>
      <c r="G28" s="2" t="s">
        <v>62</v>
      </c>
      <c r="H28" s="2" t="s">
        <v>63</v>
      </c>
      <c r="I28" s="2"/>
      <c r="J28" s="2" t="s">
        <v>64</v>
      </c>
      <c r="K28" s="2">
        <v>0</v>
      </c>
      <c r="L28" s="2">
        <v>0</v>
      </c>
    </row>
    <row r="29" spans="1:12" x14ac:dyDescent="0.3">
      <c r="A29" s="1" t="s">
        <v>155</v>
      </c>
      <c r="B29" s="1">
        <f t="shared" si="0"/>
        <v>28</v>
      </c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1" t="s">
        <v>65</v>
      </c>
      <c r="B30" s="1">
        <f t="shared" si="0"/>
        <v>29</v>
      </c>
      <c r="C30" s="2">
        <v>0</v>
      </c>
      <c r="D30" s="2">
        <v>252</v>
      </c>
      <c r="E30" s="2">
        <v>126</v>
      </c>
      <c r="F30" s="2">
        <v>72</v>
      </c>
      <c r="G30" s="2"/>
      <c r="H30" s="2" t="s">
        <v>65</v>
      </c>
      <c r="I30" s="2"/>
      <c r="J30" s="2"/>
      <c r="K30" s="2">
        <v>0</v>
      </c>
      <c r="L30" s="2">
        <v>0</v>
      </c>
    </row>
    <row r="31" spans="1:12" x14ac:dyDescent="0.3">
      <c r="A31" s="1" t="s">
        <v>67</v>
      </c>
      <c r="B31" s="1">
        <f t="shared" si="0"/>
        <v>30</v>
      </c>
      <c r="C31" s="2">
        <v>126</v>
      </c>
      <c r="D31" s="2">
        <v>252</v>
      </c>
      <c r="E31" s="2">
        <v>72</v>
      </c>
      <c r="F31" s="2">
        <v>72</v>
      </c>
      <c r="G31" s="2" t="s">
        <v>66</v>
      </c>
      <c r="H31" s="2" t="s">
        <v>67</v>
      </c>
      <c r="I31" s="2"/>
      <c r="J31" s="2"/>
      <c r="K31" s="2">
        <v>1</v>
      </c>
      <c r="L31" s="2">
        <v>0</v>
      </c>
    </row>
    <row r="32" spans="1:12" x14ac:dyDescent="0.3">
      <c r="A32" s="1" t="s">
        <v>69</v>
      </c>
      <c r="B32" s="1">
        <f t="shared" si="0"/>
        <v>31</v>
      </c>
      <c r="C32" s="2">
        <v>198</v>
      </c>
      <c r="D32" s="2">
        <v>252</v>
      </c>
      <c r="E32" s="2">
        <v>72</v>
      </c>
      <c r="F32" s="2">
        <v>72</v>
      </c>
      <c r="G32" s="2" t="s">
        <v>68</v>
      </c>
      <c r="H32" s="2" t="s">
        <v>69</v>
      </c>
      <c r="I32" s="2"/>
      <c r="J32" s="2"/>
      <c r="K32" s="2">
        <v>1</v>
      </c>
      <c r="L32" s="2">
        <v>0</v>
      </c>
    </row>
    <row r="33" spans="1:12" x14ac:dyDescent="0.3">
      <c r="A33" s="1" t="s">
        <v>71</v>
      </c>
      <c r="B33" s="1">
        <f t="shared" si="0"/>
        <v>32</v>
      </c>
      <c r="C33" s="2">
        <v>270</v>
      </c>
      <c r="D33" s="2">
        <v>252</v>
      </c>
      <c r="E33" s="2">
        <v>72</v>
      </c>
      <c r="F33" s="2">
        <v>72</v>
      </c>
      <c r="G33" s="2" t="s">
        <v>70</v>
      </c>
      <c r="H33" s="2" t="s">
        <v>71</v>
      </c>
      <c r="I33" s="2"/>
      <c r="J33" s="2"/>
      <c r="K33" s="2">
        <v>1</v>
      </c>
      <c r="L33" s="2">
        <v>0</v>
      </c>
    </row>
    <row r="34" spans="1:12" x14ac:dyDescent="0.3">
      <c r="A34" s="1" t="s">
        <v>73</v>
      </c>
      <c r="B34" s="1">
        <f t="shared" si="0"/>
        <v>33</v>
      </c>
      <c r="C34" s="2">
        <v>342</v>
      </c>
      <c r="D34" s="2">
        <v>252</v>
      </c>
      <c r="E34" s="2">
        <v>72</v>
      </c>
      <c r="F34" s="2">
        <v>72</v>
      </c>
      <c r="G34" s="2" t="s">
        <v>72</v>
      </c>
      <c r="H34" s="2" t="s">
        <v>73</v>
      </c>
      <c r="I34" s="2"/>
      <c r="J34" s="2"/>
      <c r="K34" s="2">
        <v>1</v>
      </c>
      <c r="L34" s="2">
        <v>0</v>
      </c>
    </row>
    <row r="35" spans="1:12" x14ac:dyDescent="0.3">
      <c r="A35" s="1" t="s">
        <v>75</v>
      </c>
      <c r="B35" s="1">
        <f t="shared" si="0"/>
        <v>34</v>
      </c>
      <c r="C35" s="2">
        <v>414</v>
      </c>
      <c r="D35" s="2">
        <v>252</v>
      </c>
      <c r="E35" s="2">
        <v>72</v>
      </c>
      <c r="F35" s="2">
        <v>72</v>
      </c>
      <c r="G35" s="2" t="s">
        <v>74</v>
      </c>
      <c r="H35" s="2" t="s">
        <v>75</v>
      </c>
      <c r="I35" s="2"/>
      <c r="J35" s="2"/>
      <c r="K35" s="2">
        <v>1</v>
      </c>
      <c r="L35" s="2">
        <v>0</v>
      </c>
    </row>
    <row r="36" spans="1:12" x14ac:dyDescent="0.3">
      <c r="A36" s="1" t="s">
        <v>77</v>
      </c>
      <c r="B36" s="1">
        <f t="shared" si="0"/>
        <v>35</v>
      </c>
      <c r="C36" s="2">
        <v>486</v>
      </c>
      <c r="D36" s="2">
        <v>252</v>
      </c>
      <c r="E36" s="2">
        <v>72</v>
      </c>
      <c r="F36" s="2">
        <v>72</v>
      </c>
      <c r="G36" s="2" t="s">
        <v>76</v>
      </c>
      <c r="H36" s="2" t="s">
        <v>77</v>
      </c>
      <c r="I36" s="2"/>
      <c r="J36" s="2"/>
      <c r="K36" s="2">
        <v>1</v>
      </c>
      <c r="L36" s="2">
        <v>0</v>
      </c>
    </row>
    <row r="37" spans="1:12" x14ac:dyDescent="0.3">
      <c r="A37" s="1" t="s">
        <v>79</v>
      </c>
      <c r="B37" s="1">
        <f t="shared" si="0"/>
        <v>36</v>
      </c>
      <c r="C37" s="2">
        <v>558</v>
      </c>
      <c r="D37" s="2">
        <v>252</v>
      </c>
      <c r="E37" s="2">
        <v>72</v>
      </c>
      <c r="F37" s="2">
        <v>72</v>
      </c>
      <c r="G37" s="2" t="s">
        <v>78</v>
      </c>
      <c r="H37" s="2" t="s">
        <v>79</v>
      </c>
      <c r="I37" s="2"/>
      <c r="J37" s="2"/>
      <c r="K37" s="2">
        <v>1</v>
      </c>
      <c r="L37" s="2">
        <v>0</v>
      </c>
    </row>
    <row r="38" spans="1:12" x14ac:dyDescent="0.3">
      <c r="A38" s="1" t="s">
        <v>81</v>
      </c>
      <c r="B38" s="1">
        <f t="shared" si="0"/>
        <v>37</v>
      </c>
      <c r="C38" s="2">
        <v>630</v>
      </c>
      <c r="D38" s="2">
        <v>252</v>
      </c>
      <c r="E38" s="2">
        <v>72</v>
      </c>
      <c r="F38" s="2">
        <v>72</v>
      </c>
      <c r="G38" s="2" t="s">
        <v>80</v>
      </c>
      <c r="H38" s="2" t="s">
        <v>81</v>
      </c>
      <c r="I38" s="2"/>
      <c r="J38" s="2"/>
      <c r="K38" s="2">
        <v>1</v>
      </c>
      <c r="L38" s="2">
        <v>0</v>
      </c>
    </row>
    <row r="39" spans="1:12" x14ac:dyDescent="0.3">
      <c r="A39" s="1" t="s">
        <v>83</v>
      </c>
      <c r="B39" s="1">
        <f t="shared" si="0"/>
        <v>38</v>
      </c>
      <c r="C39" s="2">
        <v>702</v>
      </c>
      <c r="D39" s="2">
        <v>252</v>
      </c>
      <c r="E39" s="2">
        <v>72</v>
      </c>
      <c r="F39" s="2">
        <v>72</v>
      </c>
      <c r="G39" s="2" t="s">
        <v>82</v>
      </c>
      <c r="H39" s="2" t="s">
        <v>83</v>
      </c>
      <c r="I39" s="2"/>
      <c r="J39" s="2"/>
      <c r="K39" s="2">
        <v>1</v>
      </c>
      <c r="L39" s="2">
        <v>0</v>
      </c>
    </row>
    <row r="40" spans="1:12" x14ac:dyDescent="0.3">
      <c r="A40" s="1" t="s">
        <v>85</v>
      </c>
      <c r="B40" s="1">
        <f t="shared" si="0"/>
        <v>39</v>
      </c>
      <c r="C40" s="2">
        <v>774</v>
      </c>
      <c r="D40" s="2">
        <v>252</v>
      </c>
      <c r="E40" s="2">
        <v>72</v>
      </c>
      <c r="F40" s="2">
        <v>72</v>
      </c>
      <c r="G40" s="2" t="s">
        <v>84</v>
      </c>
      <c r="H40" s="2" t="s">
        <v>85</v>
      </c>
      <c r="I40" s="2"/>
      <c r="J40" s="2"/>
      <c r="K40" s="2">
        <v>1</v>
      </c>
      <c r="L40" s="2">
        <v>0</v>
      </c>
    </row>
    <row r="41" spans="1:12" x14ac:dyDescent="0.3">
      <c r="A41" s="1" t="s">
        <v>87</v>
      </c>
      <c r="B41" s="1">
        <f t="shared" si="0"/>
        <v>40</v>
      </c>
      <c r="C41" s="2">
        <v>846</v>
      </c>
      <c r="D41" s="2">
        <v>252</v>
      </c>
      <c r="E41" s="2">
        <v>72</v>
      </c>
      <c r="F41" s="2">
        <v>72</v>
      </c>
      <c r="G41" s="2" t="s">
        <v>86</v>
      </c>
      <c r="H41" s="2" t="s">
        <v>87</v>
      </c>
      <c r="I41" s="2"/>
      <c r="J41" s="2"/>
      <c r="K41" s="2">
        <v>1</v>
      </c>
      <c r="L41" s="2">
        <v>0</v>
      </c>
    </row>
    <row r="42" spans="1:12" x14ac:dyDescent="0.3">
      <c r="A42" s="1" t="s">
        <v>16</v>
      </c>
      <c r="B42" s="1">
        <f t="shared" si="0"/>
        <v>41</v>
      </c>
      <c r="C42" s="2">
        <v>918</v>
      </c>
      <c r="D42" s="2">
        <v>252</v>
      </c>
      <c r="E42" s="2">
        <v>72</v>
      </c>
      <c r="F42" s="2">
        <v>72</v>
      </c>
      <c r="G42" s="9" t="s">
        <v>244</v>
      </c>
      <c r="H42" s="2" t="s">
        <v>16</v>
      </c>
      <c r="I42" s="2"/>
      <c r="J42" s="2"/>
      <c r="K42" s="2">
        <v>0</v>
      </c>
      <c r="L42" s="2">
        <v>0</v>
      </c>
    </row>
    <row r="43" spans="1:12" x14ac:dyDescent="0.3">
      <c r="A43" s="1" t="s">
        <v>89</v>
      </c>
      <c r="B43" s="1">
        <f t="shared" si="0"/>
        <v>42</v>
      </c>
      <c r="C43" s="2">
        <v>990</v>
      </c>
      <c r="D43" s="2">
        <v>180</v>
      </c>
      <c r="E43" s="2">
        <v>90</v>
      </c>
      <c r="F43" s="2">
        <v>144</v>
      </c>
      <c r="G43" s="2"/>
      <c r="H43" s="2" t="s">
        <v>89</v>
      </c>
      <c r="I43" s="2"/>
      <c r="J43" s="2"/>
      <c r="K43" s="2">
        <v>0</v>
      </c>
      <c r="L43" s="2">
        <v>0</v>
      </c>
    </row>
    <row r="44" spans="1:12" x14ac:dyDescent="0.3">
      <c r="A44" s="1" t="s">
        <v>90</v>
      </c>
      <c r="B44" s="1">
        <f t="shared" si="0"/>
        <v>43</v>
      </c>
      <c r="C44" s="2">
        <v>0</v>
      </c>
      <c r="D44" s="2">
        <v>324</v>
      </c>
      <c r="E44" s="2">
        <v>90</v>
      </c>
      <c r="F44" s="2">
        <v>72</v>
      </c>
      <c r="G44" s="2"/>
      <c r="H44" s="2" t="s">
        <v>90</v>
      </c>
      <c r="I44" s="2"/>
      <c r="J44" s="2"/>
      <c r="K44" s="2">
        <v>0</v>
      </c>
      <c r="L44" s="2">
        <v>0</v>
      </c>
    </row>
    <row r="45" spans="1:12" x14ac:dyDescent="0.3">
      <c r="A45" s="1" t="s">
        <v>92</v>
      </c>
      <c r="B45" s="1">
        <f t="shared" si="0"/>
        <v>44</v>
      </c>
      <c r="C45" s="2">
        <v>90</v>
      </c>
      <c r="D45" s="2">
        <v>324</v>
      </c>
      <c r="E45" s="2">
        <v>72</v>
      </c>
      <c r="F45" s="2">
        <v>72</v>
      </c>
      <c r="G45" s="2" t="s">
        <v>91</v>
      </c>
      <c r="H45" s="2" t="s">
        <v>92</v>
      </c>
      <c r="I45" s="2"/>
      <c r="J45" s="2" t="s">
        <v>93</v>
      </c>
      <c r="K45" s="2">
        <v>0</v>
      </c>
      <c r="L45" s="2">
        <v>0</v>
      </c>
    </row>
    <row r="46" spans="1:12" x14ac:dyDescent="0.3">
      <c r="A46" s="1" t="s">
        <v>95</v>
      </c>
      <c r="B46" s="1">
        <f t="shared" si="0"/>
        <v>45</v>
      </c>
      <c r="C46" s="2">
        <v>162</v>
      </c>
      <c r="D46" s="2">
        <v>324</v>
      </c>
      <c r="E46" s="2">
        <v>72</v>
      </c>
      <c r="F46" s="2">
        <v>72</v>
      </c>
      <c r="G46" s="2" t="s">
        <v>94</v>
      </c>
      <c r="H46" s="2" t="s">
        <v>95</v>
      </c>
      <c r="I46" s="2"/>
      <c r="J46" s="2"/>
      <c r="K46" s="2">
        <v>1</v>
      </c>
      <c r="L46" s="2">
        <v>0</v>
      </c>
    </row>
    <row r="47" spans="1:12" x14ac:dyDescent="0.3">
      <c r="A47" s="1" t="s">
        <v>97</v>
      </c>
      <c r="B47" s="1">
        <f t="shared" si="0"/>
        <v>46</v>
      </c>
      <c r="C47" s="2">
        <v>234</v>
      </c>
      <c r="D47" s="2">
        <v>324</v>
      </c>
      <c r="E47" s="2">
        <v>72</v>
      </c>
      <c r="F47" s="2">
        <v>72</v>
      </c>
      <c r="G47" s="2" t="s">
        <v>96</v>
      </c>
      <c r="H47" s="2" t="s">
        <v>97</v>
      </c>
      <c r="I47" s="2"/>
      <c r="J47" s="2"/>
      <c r="K47" s="2">
        <v>1</v>
      </c>
      <c r="L47" s="2">
        <v>0</v>
      </c>
    </row>
    <row r="48" spans="1:12" x14ac:dyDescent="0.3">
      <c r="A48" s="1" t="s">
        <v>99</v>
      </c>
      <c r="B48" s="1">
        <f t="shared" si="0"/>
        <v>47</v>
      </c>
      <c r="C48" s="2">
        <v>306</v>
      </c>
      <c r="D48" s="2">
        <v>324</v>
      </c>
      <c r="E48" s="2">
        <v>72</v>
      </c>
      <c r="F48" s="2">
        <v>72</v>
      </c>
      <c r="G48" s="2" t="s">
        <v>98</v>
      </c>
      <c r="H48" s="2" t="s">
        <v>99</v>
      </c>
      <c r="I48" s="2"/>
      <c r="J48" s="2"/>
      <c r="K48" s="2">
        <v>1</v>
      </c>
      <c r="L48" s="2">
        <v>0</v>
      </c>
    </row>
    <row r="49" spans="1:12" x14ac:dyDescent="0.3">
      <c r="A49" s="1" t="s">
        <v>101</v>
      </c>
      <c r="B49" s="1">
        <f t="shared" si="0"/>
        <v>48</v>
      </c>
      <c r="C49" s="2">
        <v>378</v>
      </c>
      <c r="D49" s="2">
        <v>324</v>
      </c>
      <c r="E49" s="2">
        <v>72</v>
      </c>
      <c r="F49" s="2">
        <v>72</v>
      </c>
      <c r="G49" s="2" t="s">
        <v>100</v>
      </c>
      <c r="H49" s="2" t="s">
        <v>101</v>
      </c>
      <c r="I49" s="2"/>
      <c r="J49" s="2"/>
      <c r="K49" s="2">
        <v>1</v>
      </c>
      <c r="L49" s="2">
        <v>0</v>
      </c>
    </row>
    <row r="50" spans="1:12" x14ac:dyDescent="0.3">
      <c r="A50" s="1" t="s">
        <v>103</v>
      </c>
      <c r="B50" s="1">
        <f t="shared" si="0"/>
        <v>49</v>
      </c>
      <c r="C50" s="2">
        <v>450</v>
      </c>
      <c r="D50" s="2">
        <v>324</v>
      </c>
      <c r="E50" s="2">
        <v>72</v>
      </c>
      <c r="F50" s="2">
        <v>72</v>
      </c>
      <c r="G50" s="2" t="s">
        <v>102</v>
      </c>
      <c r="H50" s="2" t="s">
        <v>103</v>
      </c>
      <c r="I50" s="2"/>
      <c r="J50" s="2"/>
      <c r="K50" s="2">
        <v>1</v>
      </c>
      <c r="L50" s="2">
        <v>0</v>
      </c>
    </row>
    <row r="51" spans="1:12" x14ac:dyDescent="0.3">
      <c r="A51" s="1" t="s">
        <v>105</v>
      </c>
      <c r="B51" s="1">
        <f t="shared" si="0"/>
        <v>50</v>
      </c>
      <c r="C51" s="2">
        <v>522</v>
      </c>
      <c r="D51" s="2">
        <v>324</v>
      </c>
      <c r="E51" s="2">
        <v>72</v>
      </c>
      <c r="F51" s="2">
        <v>72</v>
      </c>
      <c r="G51" s="2" t="s">
        <v>104</v>
      </c>
      <c r="H51" s="2" t="s">
        <v>105</v>
      </c>
      <c r="I51" s="2"/>
      <c r="J51" s="2"/>
      <c r="K51" s="2">
        <v>1</v>
      </c>
      <c r="L51" s="2">
        <v>0</v>
      </c>
    </row>
    <row r="52" spans="1:12" x14ac:dyDescent="0.3">
      <c r="A52" s="1" t="s">
        <v>107</v>
      </c>
      <c r="B52" s="1">
        <f t="shared" si="0"/>
        <v>51</v>
      </c>
      <c r="C52" s="2">
        <v>594</v>
      </c>
      <c r="D52" s="2">
        <v>324</v>
      </c>
      <c r="E52" s="2">
        <v>72</v>
      </c>
      <c r="F52" s="2">
        <v>72</v>
      </c>
      <c r="G52" s="2" t="s">
        <v>106</v>
      </c>
      <c r="H52" s="2" t="s">
        <v>107</v>
      </c>
      <c r="I52" s="2"/>
      <c r="J52" s="2" t="s">
        <v>108</v>
      </c>
      <c r="K52" s="2">
        <v>1</v>
      </c>
      <c r="L52" s="2">
        <v>0</v>
      </c>
    </row>
    <row r="53" spans="1:12" x14ac:dyDescent="0.3">
      <c r="A53" s="1" t="s">
        <v>110</v>
      </c>
      <c r="B53" s="1">
        <f t="shared" si="0"/>
        <v>52</v>
      </c>
      <c r="C53" s="2">
        <v>666</v>
      </c>
      <c r="D53" s="2">
        <v>324</v>
      </c>
      <c r="E53" s="2">
        <v>72</v>
      </c>
      <c r="F53" s="2">
        <v>72</v>
      </c>
      <c r="G53" s="2" t="s">
        <v>109</v>
      </c>
      <c r="H53" s="2" t="s">
        <v>110</v>
      </c>
      <c r="I53" s="2"/>
      <c r="J53" s="2"/>
      <c r="K53" s="2">
        <v>0</v>
      </c>
      <c r="L53" s="2">
        <v>0</v>
      </c>
    </row>
    <row r="54" spans="1:12" x14ac:dyDescent="0.3">
      <c r="A54" s="1" t="s">
        <v>112</v>
      </c>
      <c r="B54" s="1">
        <f t="shared" si="0"/>
        <v>53</v>
      </c>
      <c r="C54" s="2">
        <v>738</v>
      </c>
      <c r="D54" s="2">
        <v>324</v>
      </c>
      <c r="E54" s="2">
        <v>72</v>
      </c>
      <c r="F54" s="2">
        <v>72</v>
      </c>
      <c r="G54" s="2" t="s">
        <v>111</v>
      </c>
      <c r="H54" s="2" t="s">
        <v>112</v>
      </c>
      <c r="I54" s="2"/>
      <c r="J54" s="2"/>
      <c r="K54" s="2">
        <v>0</v>
      </c>
      <c r="L54" s="2">
        <v>0</v>
      </c>
    </row>
    <row r="55" spans="1:12" x14ac:dyDescent="0.3">
      <c r="A55" s="1" t="s">
        <v>114</v>
      </c>
      <c r="B55" s="1">
        <f t="shared" si="0"/>
        <v>54</v>
      </c>
      <c r="C55" s="2">
        <v>810</v>
      </c>
      <c r="D55" s="2">
        <v>324</v>
      </c>
      <c r="E55" s="2">
        <v>72</v>
      </c>
      <c r="F55" s="2">
        <v>72</v>
      </c>
      <c r="G55" s="2" t="s">
        <v>113</v>
      </c>
      <c r="H55" s="2" t="s">
        <v>114</v>
      </c>
      <c r="I55" s="2"/>
      <c r="J55" s="2"/>
      <c r="K55" s="2">
        <v>0</v>
      </c>
      <c r="L55" s="2">
        <v>0</v>
      </c>
    </row>
    <row r="56" spans="1:12" x14ac:dyDescent="0.3">
      <c r="A56" s="1" t="s">
        <v>115</v>
      </c>
      <c r="B56" s="1">
        <f t="shared" si="0"/>
        <v>55</v>
      </c>
      <c r="C56" s="2">
        <v>882</v>
      </c>
      <c r="D56" s="2">
        <v>324</v>
      </c>
      <c r="E56" s="2">
        <v>198</v>
      </c>
      <c r="F56" s="2">
        <v>72</v>
      </c>
      <c r="G56" s="2"/>
      <c r="H56" s="2" t="s">
        <v>115</v>
      </c>
      <c r="I56" s="2"/>
      <c r="J56" s="2"/>
      <c r="K56" s="2">
        <v>0</v>
      </c>
      <c r="L56" s="2">
        <v>0</v>
      </c>
    </row>
    <row r="57" spans="1:12" x14ac:dyDescent="0.3">
      <c r="A57" s="1" t="s">
        <v>116</v>
      </c>
      <c r="B57" s="1">
        <f t="shared" si="0"/>
        <v>56</v>
      </c>
      <c r="C57" s="2">
        <v>0</v>
      </c>
      <c r="D57" s="2">
        <v>396</v>
      </c>
      <c r="E57" s="2">
        <v>90</v>
      </c>
      <c r="F57" s="2">
        <v>72</v>
      </c>
      <c r="G57" s="2"/>
      <c r="H57" s="2" t="s">
        <v>116</v>
      </c>
      <c r="I57" s="2"/>
      <c r="J57" s="2"/>
      <c r="K57" s="2">
        <v>0</v>
      </c>
      <c r="L57" s="2">
        <v>0</v>
      </c>
    </row>
    <row r="58" spans="1:12" x14ac:dyDescent="0.3">
      <c r="A58" s="1" t="s">
        <v>117</v>
      </c>
      <c r="B58" s="1">
        <f t="shared" si="0"/>
        <v>57</v>
      </c>
      <c r="C58" s="2">
        <v>180</v>
      </c>
      <c r="D58" s="2">
        <v>396</v>
      </c>
      <c r="E58" s="2">
        <v>90</v>
      </c>
      <c r="F58" s="2">
        <v>72</v>
      </c>
      <c r="G58" s="2"/>
      <c r="H58" s="2" t="s">
        <v>117</v>
      </c>
      <c r="I58" s="2"/>
      <c r="J58" s="2"/>
      <c r="K58" s="2">
        <v>0</v>
      </c>
      <c r="L58" s="2">
        <v>0</v>
      </c>
    </row>
    <row r="59" spans="1:12" x14ac:dyDescent="0.3">
      <c r="A59" s="1" t="s">
        <v>118</v>
      </c>
      <c r="B59" s="1">
        <f t="shared" si="0"/>
        <v>58</v>
      </c>
      <c r="C59" s="2">
        <v>270</v>
      </c>
      <c r="D59" s="2">
        <v>396</v>
      </c>
      <c r="E59" s="2">
        <v>450</v>
      </c>
      <c r="F59" s="2">
        <v>72</v>
      </c>
      <c r="G59" s="2"/>
      <c r="H59" s="2" t="s">
        <v>118</v>
      </c>
      <c r="I59" s="2"/>
      <c r="J59" s="2"/>
      <c r="K59" s="2">
        <v>0</v>
      </c>
      <c r="L59" s="2">
        <v>0</v>
      </c>
    </row>
    <row r="60" spans="1:12" x14ac:dyDescent="0.3">
      <c r="A60" s="1" t="s">
        <v>119</v>
      </c>
      <c r="B60" s="1">
        <f t="shared" si="0"/>
        <v>59</v>
      </c>
      <c r="C60" s="2">
        <v>720</v>
      </c>
      <c r="D60" s="2">
        <v>396</v>
      </c>
      <c r="E60" s="2">
        <v>90</v>
      </c>
      <c r="F60" s="2">
        <v>72</v>
      </c>
      <c r="G60" s="2"/>
      <c r="H60" s="2" t="s">
        <v>119</v>
      </c>
      <c r="I60" s="2"/>
      <c r="J60" s="2"/>
      <c r="K60" s="2">
        <v>0</v>
      </c>
      <c r="L60" s="2">
        <v>0</v>
      </c>
    </row>
    <row r="61" spans="1:12" x14ac:dyDescent="0.3">
      <c r="A61" s="1" t="s">
        <v>120</v>
      </c>
      <c r="B61" s="1">
        <f t="shared" si="0"/>
        <v>60</v>
      </c>
      <c r="C61" s="2">
        <v>990</v>
      </c>
      <c r="D61" s="2">
        <v>396</v>
      </c>
      <c r="E61" s="2">
        <v>90</v>
      </c>
      <c r="F61" s="2">
        <v>72</v>
      </c>
      <c r="G61" s="2"/>
      <c r="H61" s="2" t="s">
        <v>120</v>
      </c>
      <c r="I61" s="2"/>
      <c r="J61" s="2"/>
      <c r="K61" s="2">
        <v>0</v>
      </c>
      <c r="L61" s="2">
        <v>0</v>
      </c>
    </row>
    <row r="62" spans="1:12" x14ac:dyDescent="0.3">
      <c r="A62" s="1" t="s">
        <v>121</v>
      </c>
      <c r="B62" s="1">
        <f t="shared" si="0"/>
        <v>61</v>
      </c>
      <c r="C62" s="2">
        <v>1116</v>
      </c>
      <c r="D62" s="2">
        <v>108</v>
      </c>
      <c r="E62" s="2">
        <v>72</v>
      </c>
      <c r="F62" s="2">
        <v>72</v>
      </c>
      <c r="G62" s="2"/>
      <c r="H62" s="2" t="s">
        <v>121</v>
      </c>
      <c r="I62" s="2"/>
      <c r="J62" s="2"/>
      <c r="K62" s="2">
        <v>0</v>
      </c>
      <c r="L62" s="2">
        <v>0</v>
      </c>
    </row>
    <row r="63" spans="1:12" x14ac:dyDescent="0.3">
      <c r="A63" s="1" t="s">
        <v>122</v>
      </c>
      <c r="B63" s="1">
        <f t="shared" si="0"/>
        <v>62</v>
      </c>
      <c r="C63" s="2">
        <v>1116</v>
      </c>
      <c r="D63" s="2">
        <v>180</v>
      </c>
      <c r="E63" s="2">
        <v>72</v>
      </c>
      <c r="F63" s="2">
        <v>72</v>
      </c>
      <c r="G63" s="2"/>
      <c r="H63" s="2" t="s">
        <v>122</v>
      </c>
      <c r="I63" s="2"/>
      <c r="J63" s="2"/>
      <c r="K63" s="2">
        <v>0</v>
      </c>
      <c r="L63" s="2">
        <v>0</v>
      </c>
    </row>
    <row r="64" spans="1:12" x14ac:dyDescent="0.3">
      <c r="A64" s="1" t="s">
        <v>123</v>
      </c>
      <c r="B64" s="1">
        <f t="shared" si="0"/>
        <v>63</v>
      </c>
      <c r="C64" s="2">
        <v>1116</v>
      </c>
      <c r="D64" s="2">
        <v>396</v>
      </c>
      <c r="E64" s="2">
        <v>72</v>
      </c>
      <c r="F64" s="2">
        <v>72</v>
      </c>
      <c r="G64" s="2"/>
      <c r="H64" s="2" t="s">
        <v>123</v>
      </c>
      <c r="I64" s="2"/>
      <c r="J64" s="2"/>
      <c r="K64" s="2">
        <v>0</v>
      </c>
      <c r="L64" s="2">
        <v>0</v>
      </c>
    </row>
    <row r="65" spans="1:12" x14ac:dyDescent="0.3">
      <c r="A65" s="1" t="s">
        <v>124</v>
      </c>
      <c r="B65" s="1">
        <f t="shared" si="0"/>
        <v>64</v>
      </c>
      <c r="C65" s="2">
        <v>1188</v>
      </c>
      <c r="D65" s="2">
        <v>108</v>
      </c>
      <c r="E65" s="2">
        <v>72</v>
      </c>
      <c r="F65" s="2">
        <v>72</v>
      </c>
      <c r="G65" s="2"/>
      <c r="H65" s="2" t="s">
        <v>124</v>
      </c>
      <c r="I65" s="2"/>
      <c r="J65" s="2"/>
      <c r="K65" s="2">
        <v>0</v>
      </c>
      <c r="L65" s="2">
        <v>0</v>
      </c>
    </row>
    <row r="66" spans="1:12" x14ac:dyDescent="0.3">
      <c r="A66" s="1" t="s">
        <v>125</v>
      </c>
      <c r="B66" s="1">
        <f t="shared" ref="B66:B119" si="1">ROW(B66)-1</f>
        <v>65</v>
      </c>
      <c r="C66" s="2">
        <v>1188</v>
      </c>
      <c r="D66" s="2">
        <v>180</v>
      </c>
      <c r="E66" s="2">
        <v>72</v>
      </c>
      <c r="F66" s="2">
        <v>72</v>
      </c>
      <c r="G66" s="2"/>
      <c r="H66" s="2" t="s">
        <v>125</v>
      </c>
      <c r="I66" s="2"/>
      <c r="J66" s="2"/>
      <c r="K66" s="2">
        <v>0</v>
      </c>
      <c r="L66" s="2">
        <v>0</v>
      </c>
    </row>
    <row r="67" spans="1:12" x14ac:dyDescent="0.3">
      <c r="A67" s="1" t="s">
        <v>126</v>
      </c>
      <c r="B67" s="1">
        <f t="shared" si="1"/>
        <v>66</v>
      </c>
      <c r="C67" s="2">
        <v>1188</v>
      </c>
      <c r="D67" s="2">
        <v>324</v>
      </c>
      <c r="E67" s="2">
        <v>72</v>
      </c>
      <c r="F67" s="2">
        <v>72</v>
      </c>
      <c r="G67" s="2"/>
      <c r="H67" s="2" t="s">
        <v>126</v>
      </c>
      <c r="I67" s="2"/>
      <c r="J67" s="2"/>
      <c r="K67" s="2">
        <v>0</v>
      </c>
      <c r="L67" s="2">
        <v>0</v>
      </c>
    </row>
    <row r="68" spans="1:12" x14ac:dyDescent="0.3">
      <c r="A68" s="1" t="s">
        <v>127</v>
      </c>
      <c r="B68" s="1">
        <f t="shared" si="1"/>
        <v>67</v>
      </c>
      <c r="C68" s="2">
        <v>1188</v>
      </c>
      <c r="D68" s="2">
        <v>396</v>
      </c>
      <c r="E68" s="2">
        <v>72</v>
      </c>
      <c r="F68" s="2">
        <v>72</v>
      </c>
      <c r="G68" s="2"/>
      <c r="H68" s="2" t="s">
        <v>127</v>
      </c>
      <c r="I68" s="2"/>
      <c r="J68" s="2"/>
      <c r="K68" s="2">
        <v>0</v>
      </c>
      <c r="L68" s="2">
        <v>0</v>
      </c>
    </row>
    <row r="69" spans="1:12" x14ac:dyDescent="0.3">
      <c r="A69" s="1" t="s">
        <v>128</v>
      </c>
      <c r="B69" s="1">
        <f t="shared" si="1"/>
        <v>68</v>
      </c>
      <c r="C69" s="2">
        <v>1260</v>
      </c>
      <c r="D69" s="2">
        <v>108</v>
      </c>
      <c r="E69" s="2">
        <v>72</v>
      </c>
      <c r="F69" s="2">
        <v>72</v>
      </c>
      <c r="G69" s="2"/>
      <c r="H69" s="2" t="s">
        <v>128</v>
      </c>
      <c r="I69" s="2"/>
      <c r="J69" s="2"/>
      <c r="K69" s="2">
        <v>0</v>
      </c>
      <c r="L69" s="2">
        <v>0</v>
      </c>
    </row>
    <row r="70" spans="1:12" x14ac:dyDescent="0.3">
      <c r="A70" s="1" t="s">
        <v>129</v>
      </c>
      <c r="B70" s="1">
        <f t="shared" si="1"/>
        <v>69</v>
      </c>
      <c r="C70" s="2">
        <v>1260</v>
      </c>
      <c r="D70" s="2">
        <v>180</v>
      </c>
      <c r="E70" s="2">
        <v>72</v>
      </c>
      <c r="F70" s="2">
        <v>72</v>
      </c>
      <c r="G70" s="2"/>
      <c r="H70" s="2" t="s">
        <v>129</v>
      </c>
      <c r="I70" s="2"/>
      <c r="J70" s="2"/>
      <c r="K70" s="2">
        <v>0</v>
      </c>
      <c r="L70" s="2">
        <v>0</v>
      </c>
    </row>
    <row r="71" spans="1:12" x14ac:dyDescent="0.3">
      <c r="A71" s="1" t="s">
        <v>130</v>
      </c>
      <c r="B71" s="1">
        <f t="shared" si="1"/>
        <v>70</v>
      </c>
      <c r="C71" s="2">
        <v>1260</v>
      </c>
      <c r="D71" s="2">
        <v>396</v>
      </c>
      <c r="E71" s="2">
        <v>72</v>
      </c>
      <c r="F71" s="2">
        <v>72</v>
      </c>
      <c r="G71" s="2"/>
      <c r="H71" s="2" t="s">
        <v>130</v>
      </c>
      <c r="I71" s="2"/>
      <c r="J71" s="2"/>
      <c r="K71" s="2">
        <v>0</v>
      </c>
      <c r="L71" s="2">
        <v>0</v>
      </c>
    </row>
    <row r="72" spans="1:12" x14ac:dyDescent="0.3">
      <c r="A72" s="1" t="s">
        <v>131</v>
      </c>
      <c r="B72" s="1">
        <f t="shared" si="1"/>
        <v>71</v>
      </c>
      <c r="C72" s="2">
        <v>1368</v>
      </c>
      <c r="D72" s="2">
        <v>108</v>
      </c>
      <c r="E72" s="2">
        <v>72</v>
      </c>
      <c r="F72" s="2">
        <v>72</v>
      </c>
      <c r="G72" s="2"/>
      <c r="H72" s="2" t="s">
        <v>131</v>
      </c>
      <c r="I72" s="2"/>
      <c r="J72" s="2"/>
      <c r="K72" s="2">
        <v>0</v>
      </c>
      <c r="L72" s="2">
        <v>1</v>
      </c>
    </row>
    <row r="73" spans="1:12" x14ac:dyDescent="0.3">
      <c r="A73" s="1" t="s">
        <v>124</v>
      </c>
      <c r="B73" s="1">
        <f t="shared" si="1"/>
        <v>72</v>
      </c>
      <c r="C73" s="2">
        <v>1368</v>
      </c>
      <c r="D73" s="2">
        <v>180</v>
      </c>
      <c r="E73" s="2">
        <v>72</v>
      </c>
      <c r="F73" s="2">
        <v>72</v>
      </c>
      <c r="G73" s="2">
        <v>7</v>
      </c>
      <c r="H73" s="2" t="s">
        <v>124</v>
      </c>
      <c r="I73" s="2"/>
      <c r="J73" s="2"/>
      <c r="K73" s="2">
        <v>0</v>
      </c>
      <c r="L73" s="2">
        <v>1</v>
      </c>
    </row>
    <row r="74" spans="1:12" x14ac:dyDescent="0.3">
      <c r="A74" s="1" t="s">
        <v>123</v>
      </c>
      <c r="B74" s="1">
        <f t="shared" si="1"/>
        <v>73</v>
      </c>
      <c r="C74" s="2">
        <v>1368</v>
      </c>
      <c r="D74" s="2">
        <v>252</v>
      </c>
      <c r="E74" s="2">
        <v>72</v>
      </c>
      <c r="F74" s="2">
        <v>72</v>
      </c>
      <c r="G74" s="2">
        <v>4</v>
      </c>
      <c r="H74" s="2" t="s">
        <v>123</v>
      </c>
      <c r="I74" s="2"/>
      <c r="J74" s="2"/>
      <c r="K74" s="2">
        <v>0</v>
      </c>
      <c r="L74" s="2">
        <v>1</v>
      </c>
    </row>
    <row r="75" spans="1:12" x14ac:dyDescent="0.3">
      <c r="A75" s="1" t="s">
        <v>125</v>
      </c>
      <c r="B75" s="1">
        <f t="shared" si="1"/>
        <v>74</v>
      </c>
      <c r="C75" s="2">
        <v>1368</v>
      </c>
      <c r="D75" s="2">
        <v>324</v>
      </c>
      <c r="E75" s="2">
        <v>72</v>
      </c>
      <c r="F75" s="2">
        <v>72</v>
      </c>
      <c r="G75" s="2">
        <v>1</v>
      </c>
      <c r="H75" s="2" t="s">
        <v>125</v>
      </c>
      <c r="I75" s="2"/>
      <c r="J75" s="2"/>
      <c r="K75" s="2">
        <v>0</v>
      </c>
      <c r="L75" s="2">
        <v>1</v>
      </c>
    </row>
    <row r="76" spans="1:12" x14ac:dyDescent="0.3">
      <c r="A76" s="1" t="s">
        <v>132</v>
      </c>
      <c r="B76" s="1">
        <f t="shared" si="1"/>
        <v>75</v>
      </c>
      <c r="C76" s="2">
        <v>1440</v>
      </c>
      <c r="D76" s="2">
        <v>108</v>
      </c>
      <c r="E76" s="2">
        <v>72</v>
      </c>
      <c r="F76" s="2">
        <v>72</v>
      </c>
      <c r="G76" s="2"/>
      <c r="H76" s="2" t="s">
        <v>132</v>
      </c>
      <c r="I76" s="2"/>
      <c r="J76" s="2"/>
      <c r="K76" s="2">
        <v>0</v>
      </c>
      <c r="L76" s="2">
        <v>1</v>
      </c>
    </row>
    <row r="77" spans="1:12" x14ac:dyDescent="0.3">
      <c r="A77" s="1" t="s">
        <v>126</v>
      </c>
      <c r="B77" s="1">
        <f t="shared" si="1"/>
        <v>76</v>
      </c>
      <c r="C77" s="2">
        <v>1440</v>
      </c>
      <c r="D77" s="2">
        <v>180</v>
      </c>
      <c r="E77" s="2">
        <v>72</v>
      </c>
      <c r="F77" s="2">
        <v>72</v>
      </c>
      <c r="G77" s="2">
        <v>8</v>
      </c>
      <c r="H77" s="2" t="s">
        <v>126</v>
      </c>
      <c r="I77" s="2"/>
      <c r="J77" s="2"/>
      <c r="K77" s="2">
        <v>0</v>
      </c>
      <c r="L77" s="2">
        <v>1</v>
      </c>
    </row>
    <row r="78" spans="1:12" x14ac:dyDescent="0.3">
      <c r="A78" s="1" t="s">
        <v>156</v>
      </c>
      <c r="B78" s="1">
        <f t="shared" si="1"/>
        <v>77</v>
      </c>
      <c r="C78" s="2">
        <v>1440</v>
      </c>
      <c r="D78" s="2">
        <v>252</v>
      </c>
      <c r="E78" s="2">
        <v>72</v>
      </c>
      <c r="F78" s="2">
        <v>72</v>
      </c>
      <c r="G78" s="2">
        <v>5</v>
      </c>
      <c r="H78" s="2"/>
      <c r="I78" s="2"/>
      <c r="J78" s="2"/>
      <c r="K78" s="2">
        <v>0</v>
      </c>
      <c r="L78" s="2">
        <v>1</v>
      </c>
    </row>
    <row r="79" spans="1:12" x14ac:dyDescent="0.3">
      <c r="A79" s="1" t="s">
        <v>127</v>
      </c>
      <c r="B79" s="1">
        <f t="shared" si="1"/>
        <v>78</v>
      </c>
      <c r="C79" s="2">
        <v>1440</v>
      </c>
      <c r="D79" s="2">
        <v>324</v>
      </c>
      <c r="E79" s="2">
        <v>72</v>
      </c>
      <c r="F79" s="2">
        <v>72</v>
      </c>
      <c r="G79" s="2">
        <v>2</v>
      </c>
      <c r="H79" s="2" t="s">
        <v>127</v>
      </c>
      <c r="I79" s="2"/>
      <c r="J79" s="2"/>
      <c r="K79" s="2">
        <v>0</v>
      </c>
      <c r="L79" s="2">
        <v>1</v>
      </c>
    </row>
    <row r="80" spans="1:12" x14ac:dyDescent="0.3">
      <c r="A80" s="1" t="s">
        <v>121</v>
      </c>
      <c r="B80" s="1">
        <f t="shared" si="1"/>
        <v>79</v>
      </c>
      <c r="C80" s="2">
        <v>1368</v>
      </c>
      <c r="D80" s="2">
        <v>396</v>
      </c>
      <c r="E80" s="2">
        <v>144</v>
      </c>
      <c r="F80" s="2">
        <v>72</v>
      </c>
      <c r="G80" s="2">
        <v>0</v>
      </c>
      <c r="H80" s="2" t="s">
        <v>121</v>
      </c>
      <c r="I80" s="2"/>
      <c r="J80" s="2"/>
      <c r="K80" s="2">
        <v>0</v>
      </c>
      <c r="L80" s="2">
        <v>1</v>
      </c>
    </row>
    <row r="81" spans="1:12" x14ac:dyDescent="0.3">
      <c r="A81" s="1" t="s">
        <v>133</v>
      </c>
      <c r="B81" s="1">
        <f t="shared" si="1"/>
        <v>80</v>
      </c>
      <c r="C81" s="2">
        <v>1512</v>
      </c>
      <c r="D81" s="2">
        <v>108</v>
      </c>
      <c r="E81" s="2">
        <v>72</v>
      </c>
      <c r="F81" s="2">
        <v>72</v>
      </c>
      <c r="G81" s="2"/>
      <c r="H81" s="2" t="s">
        <v>133</v>
      </c>
      <c r="I81" s="2"/>
      <c r="J81" s="2"/>
      <c r="K81" s="2">
        <v>0</v>
      </c>
      <c r="L81" s="2">
        <v>1</v>
      </c>
    </row>
    <row r="82" spans="1:12" x14ac:dyDescent="0.3">
      <c r="A82" s="1" t="s">
        <v>128</v>
      </c>
      <c r="B82" s="1">
        <f t="shared" si="1"/>
        <v>81</v>
      </c>
      <c r="C82" s="2">
        <v>1512</v>
      </c>
      <c r="D82" s="2">
        <v>180</v>
      </c>
      <c r="E82" s="2">
        <v>72</v>
      </c>
      <c r="F82" s="2">
        <v>72</v>
      </c>
      <c r="G82" s="2">
        <v>9</v>
      </c>
      <c r="H82" s="2" t="s">
        <v>128</v>
      </c>
      <c r="I82" s="2"/>
      <c r="J82" s="2"/>
      <c r="K82" s="2">
        <v>0</v>
      </c>
      <c r="L82" s="2">
        <v>1</v>
      </c>
    </row>
    <row r="83" spans="1:12" x14ac:dyDescent="0.3">
      <c r="A83" s="1" t="s">
        <v>130</v>
      </c>
      <c r="B83" s="1">
        <f t="shared" si="1"/>
        <v>82</v>
      </c>
      <c r="C83" s="2">
        <v>1512</v>
      </c>
      <c r="D83" s="2">
        <v>252</v>
      </c>
      <c r="E83" s="2">
        <v>72</v>
      </c>
      <c r="F83" s="2">
        <v>72</v>
      </c>
      <c r="G83" s="2">
        <v>6</v>
      </c>
      <c r="H83" s="2" t="s">
        <v>130</v>
      </c>
      <c r="I83" s="2"/>
      <c r="J83" s="2"/>
      <c r="K83" s="2">
        <v>0</v>
      </c>
      <c r="L83" s="2">
        <v>1</v>
      </c>
    </row>
    <row r="84" spans="1:12" x14ac:dyDescent="0.3">
      <c r="A84" s="1" t="s">
        <v>129</v>
      </c>
      <c r="B84" s="1">
        <f t="shared" si="1"/>
        <v>83</v>
      </c>
      <c r="C84" s="2">
        <v>1512</v>
      </c>
      <c r="D84" s="2">
        <v>324</v>
      </c>
      <c r="E84" s="2">
        <v>72</v>
      </c>
      <c r="F84" s="2">
        <v>72</v>
      </c>
      <c r="G84" s="2">
        <v>3</v>
      </c>
      <c r="H84" s="2" t="s">
        <v>129</v>
      </c>
      <c r="I84" s="2"/>
      <c r="J84" s="2"/>
      <c r="K84" s="2">
        <v>0</v>
      </c>
      <c r="L84" s="2">
        <v>1</v>
      </c>
    </row>
    <row r="85" spans="1:12" x14ac:dyDescent="0.3">
      <c r="A85" s="1" t="s">
        <v>122</v>
      </c>
      <c r="B85" s="1">
        <f t="shared" si="1"/>
        <v>84</v>
      </c>
      <c r="C85" s="2">
        <v>1512</v>
      </c>
      <c r="D85" s="2">
        <v>396</v>
      </c>
      <c r="E85" s="2">
        <v>72</v>
      </c>
      <c r="F85" s="2">
        <v>72</v>
      </c>
      <c r="G85" s="2" t="s">
        <v>110</v>
      </c>
      <c r="H85" s="2" t="s">
        <v>122</v>
      </c>
      <c r="I85" s="2"/>
      <c r="J85" s="2"/>
      <c r="K85" s="2">
        <v>0</v>
      </c>
      <c r="L85" s="2">
        <v>1</v>
      </c>
    </row>
    <row r="86" spans="1:12" x14ac:dyDescent="0.3">
      <c r="A86" s="1" t="s">
        <v>114</v>
      </c>
      <c r="B86" s="1">
        <f t="shared" si="1"/>
        <v>85</v>
      </c>
      <c r="C86" s="2">
        <v>1584</v>
      </c>
      <c r="D86" s="2">
        <v>108</v>
      </c>
      <c r="E86" s="2">
        <v>72</v>
      </c>
      <c r="F86" s="2">
        <v>72</v>
      </c>
      <c r="G86" s="2"/>
      <c r="H86" s="2" t="s">
        <v>114</v>
      </c>
      <c r="I86" s="2"/>
      <c r="J86" s="2"/>
      <c r="K86" s="2">
        <v>0</v>
      </c>
      <c r="L86" s="2">
        <v>1</v>
      </c>
    </row>
    <row r="87" spans="1:12" x14ac:dyDescent="0.3">
      <c r="A87" s="1" t="s">
        <v>63</v>
      </c>
      <c r="B87" s="1">
        <f t="shared" si="1"/>
        <v>86</v>
      </c>
      <c r="C87" s="2">
        <v>1584</v>
      </c>
      <c r="D87" s="2">
        <v>180</v>
      </c>
      <c r="E87" s="2">
        <v>72</v>
      </c>
      <c r="F87" s="2">
        <v>144</v>
      </c>
      <c r="G87" s="2"/>
      <c r="H87" s="2" t="s">
        <v>63</v>
      </c>
      <c r="I87" s="2"/>
      <c r="J87" s="2"/>
      <c r="K87" s="2">
        <v>0</v>
      </c>
      <c r="L87" s="2">
        <v>1</v>
      </c>
    </row>
    <row r="88" spans="1:12" x14ac:dyDescent="0.3">
      <c r="A88" s="1" t="s">
        <v>89</v>
      </c>
      <c r="B88" s="1">
        <f t="shared" si="1"/>
        <v>87</v>
      </c>
      <c r="C88" s="2">
        <v>1584</v>
      </c>
      <c r="D88" s="2">
        <v>324</v>
      </c>
      <c r="E88" s="2">
        <v>72</v>
      </c>
      <c r="F88" s="2">
        <v>144</v>
      </c>
      <c r="G88" s="2"/>
      <c r="H88" s="2" t="s">
        <v>192</v>
      </c>
      <c r="I88" s="2"/>
      <c r="J88" s="2"/>
      <c r="K88" s="2">
        <v>0</v>
      </c>
      <c r="L88" s="2">
        <v>1</v>
      </c>
    </row>
    <row r="89" spans="1:12" x14ac:dyDescent="0.3">
      <c r="A89" s="1" t="s">
        <v>134</v>
      </c>
      <c r="B89" s="1">
        <f t="shared" si="1"/>
        <v>88</v>
      </c>
      <c r="C89" s="2">
        <v>0</v>
      </c>
      <c r="D89" s="2">
        <v>0</v>
      </c>
      <c r="E89" s="2">
        <v>72</v>
      </c>
      <c r="F89" s="2">
        <v>72</v>
      </c>
      <c r="G89" s="2"/>
      <c r="H89" s="2" t="s">
        <v>134</v>
      </c>
      <c r="I89" s="2"/>
      <c r="J89" s="2"/>
      <c r="K89" s="2">
        <v>0</v>
      </c>
      <c r="L89" s="2">
        <v>0</v>
      </c>
    </row>
    <row r="90" spans="1:12" x14ac:dyDescent="0.3">
      <c r="A90" s="1" t="s">
        <v>135</v>
      </c>
      <c r="B90" s="1">
        <f t="shared" si="1"/>
        <v>89</v>
      </c>
      <c r="C90" s="2">
        <v>144</v>
      </c>
      <c r="D90" s="2">
        <v>0</v>
      </c>
      <c r="E90" s="2">
        <v>72</v>
      </c>
      <c r="F90" s="2">
        <v>72</v>
      </c>
      <c r="G90" s="2"/>
      <c r="H90" s="2" t="s">
        <v>135</v>
      </c>
      <c r="I90" s="2"/>
      <c r="J90" s="2"/>
      <c r="K90" s="2">
        <v>0</v>
      </c>
      <c r="L90" s="2">
        <v>0</v>
      </c>
    </row>
    <row r="91" spans="1:12" x14ac:dyDescent="0.3">
      <c r="A91" s="1" t="s">
        <v>136</v>
      </c>
      <c r="B91" s="1">
        <f t="shared" si="1"/>
        <v>90</v>
      </c>
      <c r="C91" s="2">
        <v>216</v>
      </c>
      <c r="D91" s="2">
        <v>0</v>
      </c>
      <c r="E91" s="2">
        <v>72</v>
      </c>
      <c r="F91" s="2">
        <v>72</v>
      </c>
      <c r="G91" s="2"/>
      <c r="H91" s="2" t="s">
        <v>136</v>
      </c>
      <c r="I91" s="2"/>
      <c r="J91" s="2"/>
      <c r="K91" s="2">
        <v>0</v>
      </c>
      <c r="L91" s="2">
        <v>0</v>
      </c>
    </row>
    <row r="92" spans="1:12" x14ac:dyDescent="0.3">
      <c r="A92" s="1" t="s">
        <v>137</v>
      </c>
      <c r="B92" s="1">
        <f t="shared" si="1"/>
        <v>91</v>
      </c>
      <c r="C92" s="2">
        <v>288</v>
      </c>
      <c r="D92" s="2">
        <v>0</v>
      </c>
      <c r="E92" s="2">
        <v>72</v>
      </c>
      <c r="F92" s="2">
        <v>72</v>
      </c>
      <c r="G92" s="2"/>
      <c r="H92" s="2" t="s">
        <v>137</v>
      </c>
      <c r="I92" s="2"/>
      <c r="J92" s="2"/>
      <c r="K92" s="2">
        <v>0</v>
      </c>
      <c r="L92" s="2">
        <v>0</v>
      </c>
    </row>
    <row r="93" spans="1:12" x14ac:dyDescent="0.3">
      <c r="A93" s="1" t="s">
        <v>138</v>
      </c>
      <c r="B93" s="1">
        <f t="shared" si="1"/>
        <v>92</v>
      </c>
      <c r="C93" s="2">
        <v>360</v>
      </c>
      <c r="D93" s="2">
        <v>0</v>
      </c>
      <c r="E93" s="2">
        <v>72</v>
      </c>
      <c r="F93" s="2">
        <v>72</v>
      </c>
      <c r="G93" s="2"/>
      <c r="H93" s="2" t="s">
        <v>138</v>
      </c>
      <c r="I93" s="2"/>
      <c r="J93" s="2"/>
      <c r="K93" s="2">
        <v>0</v>
      </c>
      <c r="L93" s="2">
        <v>0</v>
      </c>
    </row>
    <row r="94" spans="1:12" x14ac:dyDescent="0.3">
      <c r="A94" s="1" t="s">
        <v>139</v>
      </c>
      <c r="B94" s="1">
        <f t="shared" si="1"/>
        <v>93</v>
      </c>
      <c r="C94" s="2">
        <v>468</v>
      </c>
      <c r="D94" s="2">
        <v>0</v>
      </c>
      <c r="E94" s="2">
        <v>72</v>
      </c>
      <c r="F94" s="2">
        <v>72</v>
      </c>
      <c r="G94" s="2"/>
      <c r="H94" s="2" t="s">
        <v>139</v>
      </c>
      <c r="I94" s="2"/>
      <c r="J94" s="2"/>
      <c r="K94" s="2">
        <v>0</v>
      </c>
      <c r="L94" s="2">
        <v>0</v>
      </c>
    </row>
    <row r="95" spans="1:12" x14ac:dyDescent="0.3">
      <c r="A95" s="1" t="s">
        <v>140</v>
      </c>
      <c r="B95" s="1">
        <f t="shared" si="1"/>
        <v>94</v>
      </c>
      <c r="C95" s="2">
        <v>540</v>
      </c>
      <c r="D95" s="2">
        <v>0</v>
      </c>
      <c r="E95" s="2">
        <v>72</v>
      </c>
      <c r="F95" s="2">
        <v>72</v>
      </c>
      <c r="G95" s="2"/>
      <c r="H95" s="2" t="s">
        <v>140</v>
      </c>
      <c r="I95" s="2"/>
      <c r="J95" s="2"/>
      <c r="K95" s="2">
        <v>0</v>
      </c>
      <c r="L95" s="2">
        <v>0</v>
      </c>
    </row>
    <row r="96" spans="1:12" x14ac:dyDescent="0.3">
      <c r="A96" s="1" t="s">
        <v>141</v>
      </c>
      <c r="B96" s="1">
        <f t="shared" si="1"/>
        <v>95</v>
      </c>
      <c r="C96" s="2">
        <v>612</v>
      </c>
      <c r="D96" s="2">
        <v>0</v>
      </c>
      <c r="E96" s="2">
        <v>72</v>
      </c>
      <c r="F96" s="2">
        <v>72</v>
      </c>
      <c r="G96" s="2"/>
      <c r="H96" s="2" t="s">
        <v>141</v>
      </c>
      <c r="I96" s="2"/>
      <c r="J96" s="2"/>
      <c r="K96" s="2">
        <v>0</v>
      </c>
      <c r="L96" s="2">
        <v>0</v>
      </c>
    </row>
    <row r="97" spans="1:12" x14ac:dyDescent="0.3">
      <c r="A97" s="1" t="s">
        <v>142</v>
      </c>
      <c r="B97" s="1">
        <f t="shared" si="1"/>
        <v>96</v>
      </c>
      <c r="C97" s="2">
        <v>684</v>
      </c>
      <c r="D97" s="2">
        <v>0</v>
      </c>
      <c r="E97" s="2">
        <v>72</v>
      </c>
      <c r="F97" s="2">
        <v>72</v>
      </c>
      <c r="G97" s="2"/>
      <c r="H97" s="2" t="s">
        <v>142</v>
      </c>
      <c r="I97" s="2"/>
      <c r="J97" s="2"/>
      <c r="K97" s="2">
        <v>0</v>
      </c>
      <c r="L97" s="2">
        <v>0</v>
      </c>
    </row>
    <row r="98" spans="1:12" x14ac:dyDescent="0.3">
      <c r="A98" s="1" t="s">
        <v>143</v>
      </c>
      <c r="B98" s="1">
        <f t="shared" si="1"/>
        <v>97</v>
      </c>
      <c r="C98" s="2">
        <v>792</v>
      </c>
      <c r="D98" s="2">
        <v>0</v>
      </c>
      <c r="E98" s="2">
        <v>72</v>
      </c>
      <c r="F98" s="2">
        <v>72</v>
      </c>
      <c r="G98" s="2"/>
      <c r="H98" s="2" t="s">
        <v>143</v>
      </c>
      <c r="I98" s="2"/>
      <c r="J98" s="2"/>
      <c r="K98" s="2">
        <v>0</v>
      </c>
      <c r="L98" s="2">
        <v>0</v>
      </c>
    </row>
    <row r="99" spans="1:12" x14ac:dyDescent="0.3">
      <c r="A99" s="1" t="s">
        <v>144</v>
      </c>
      <c r="B99" s="1">
        <f t="shared" si="1"/>
        <v>98</v>
      </c>
      <c r="C99" s="2">
        <v>864</v>
      </c>
      <c r="D99" s="2">
        <v>0</v>
      </c>
      <c r="E99" s="2">
        <v>72</v>
      </c>
      <c r="F99" s="2">
        <v>72</v>
      </c>
      <c r="G99" s="2"/>
      <c r="H99" s="2" t="s">
        <v>144</v>
      </c>
      <c r="I99" s="2"/>
      <c r="J99" s="2"/>
      <c r="K99" s="2">
        <v>0</v>
      </c>
      <c r="L99" s="2">
        <v>0</v>
      </c>
    </row>
    <row r="100" spans="1:12" x14ac:dyDescent="0.3">
      <c r="A100" s="1" t="s">
        <v>145</v>
      </c>
      <c r="B100" s="1">
        <f t="shared" si="1"/>
        <v>99</v>
      </c>
      <c r="C100" s="2">
        <v>936</v>
      </c>
      <c r="D100" s="2">
        <v>0</v>
      </c>
      <c r="E100" s="2">
        <v>72</v>
      </c>
      <c r="F100" s="2">
        <v>72</v>
      </c>
      <c r="G100" s="2"/>
      <c r="H100" s="2" t="s">
        <v>145</v>
      </c>
      <c r="I100" s="2"/>
      <c r="J100" s="2"/>
      <c r="K100" s="2">
        <v>0</v>
      </c>
      <c r="L100" s="2">
        <v>0</v>
      </c>
    </row>
    <row r="101" spans="1:12" x14ac:dyDescent="0.3">
      <c r="A101" s="1" t="s">
        <v>146</v>
      </c>
      <c r="B101" s="1">
        <f t="shared" si="1"/>
        <v>100</v>
      </c>
      <c r="C101" s="2">
        <v>1008</v>
      </c>
      <c r="D101" s="2">
        <v>0</v>
      </c>
      <c r="E101" s="2">
        <v>72</v>
      </c>
      <c r="F101" s="2">
        <v>72</v>
      </c>
      <c r="G101" s="2"/>
      <c r="H101" s="2" t="s">
        <v>146</v>
      </c>
      <c r="I101" s="2"/>
      <c r="J101" s="2"/>
      <c r="K101" s="2">
        <v>0</v>
      </c>
      <c r="L101" s="2">
        <v>0</v>
      </c>
    </row>
    <row r="102" spans="1:12" x14ac:dyDescent="0.3">
      <c r="A102" s="1" t="s">
        <v>147</v>
      </c>
      <c r="B102" s="1">
        <f t="shared" si="1"/>
        <v>101</v>
      </c>
      <c r="C102" s="2">
        <v>1110</v>
      </c>
      <c r="D102" s="2">
        <v>0</v>
      </c>
      <c r="E102" s="2">
        <v>72</v>
      </c>
      <c r="F102" s="2">
        <v>72</v>
      </c>
      <c r="G102" s="2"/>
      <c r="H102" s="2" t="s">
        <v>147</v>
      </c>
      <c r="I102" s="2"/>
      <c r="J102" s="2"/>
      <c r="K102" s="2">
        <v>0</v>
      </c>
      <c r="L102" s="2">
        <v>0</v>
      </c>
    </row>
    <row r="103" spans="1:12" x14ac:dyDescent="0.3">
      <c r="A103" s="1" t="s">
        <v>148</v>
      </c>
      <c r="B103" s="1">
        <f t="shared" si="1"/>
        <v>102</v>
      </c>
      <c r="C103" s="2">
        <v>1182</v>
      </c>
      <c r="D103" s="2">
        <v>0</v>
      </c>
      <c r="E103" s="2">
        <v>72</v>
      </c>
      <c r="F103" s="2">
        <v>72</v>
      </c>
      <c r="G103" s="2"/>
      <c r="H103" s="2" t="s">
        <v>148</v>
      </c>
      <c r="I103" s="2"/>
      <c r="J103" s="2"/>
      <c r="K103" s="2">
        <v>0</v>
      </c>
      <c r="L103" s="2">
        <v>0</v>
      </c>
    </row>
    <row r="104" spans="1:12" x14ac:dyDescent="0.3">
      <c r="A104" s="1" t="s">
        <v>149</v>
      </c>
      <c r="B104" s="1">
        <f t="shared" si="1"/>
        <v>103</v>
      </c>
      <c r="C104" s="2">
        <v>1254</v>
      </c>
      <c r="D104" s="2">
        <v>0</v>
      </c>
      <c r="E104" s="2">
        <v>72</v>
      </c>
      <c r="F104" s="2">
        <v>72</v>
      </c>
      <c r="G104" s="2"/>
      <c r="H104" s="2" t="s">
        <v>149</v>
      </c>
      <c r="I104" s="2"/>
      <c r="J104" s="2"/>
      <c r="K104" s="2">
        <v>0</v>
      </c>
      <c r="L104" s="2">
        <v>0</v>
      </c>
    </row>
    <row r="105" spans="1:12" x14ac:dyDescent="0.3">
      <c r="A105" s="1" t="s">
        <v>157</v>
      </c>
      <c r="B105" s="1">
        <f t="shared" si="1"/>
        <v>104</v>
      </c>
      <c r="C105" s="2">
        <v>90</v>
      </c>
      <c r="D105" s="2">
        <v>396</v>
      </c>
      <c r="E105" s="2">
        <v>90</v>
      </c>
      <c r="F105" s="2">
        <v>72</v>
      </c>
      <c r="G105" s="2"/>
      <c r="H105" s="2" t="s">
        <v>150</v>
      </c>
      <c r="I105" s="2"/>
      <c r="J105" s="2"/>
      <c r="K105" s="2">
        <v>0</v>
      </c>
      <c r="L105" s="2">
        <v>0</v>
      </c>
    </row>
    <row r="106" spans="1:12" x14ac:dyDescent="0.3">
      <c r="A106" s="1" t="s">
        <v>158</v>
      </c>
      <c r="B106" s="1">
        <f t="shared" si="1"/>
        <v>105</v>
      </c>
      <c r="C106" s="2">
        <v>810</v>
      </c>
      <c r="D106" s="2">
        <v>396</v>
      </c>
      <c r="E106" s="2">
        <v>90</v>
      </c>
      <c r="F106" s="2">
        <v>72</v>
      </c>
      <c r="G106" s="2"/>
      <c r="H106" s="2" t="s">
        <v>151</v>
      </c>
      <c r="I106" s="2"/>
      <c r="J106" s="2"/>
      <c r="K106" s="2">
        <v>0</v>
      </c>
      <c r="L106" s="2">
        <v>0</v>
      </c>
    </row>
    <row r="107" spans="1:12" x14ac:dyDescent="0.3">
      <c r="A107" s="1" t="s">
        <v>152</v>
      </c>
      <c r="B107" s="1">
        <f t="shared" si="1"/>
        <v>106</v>
      </c>
      <c r="C107" s="2">
        <v>900</v>
      </c>
      <c r="D107" s="2">
        <v>396</v>
      </c>
      <c r="E107" s="2">
        <v>90</v>
      </c>
      <c r="F107" s="2">
        <v>72</v>
      </c>
      <c r="G107" s="2"/>
      <c r="H107" s="2" t="s">
        <v>152</v>
      </c>
      <c r="I107" s="2"/>
      <c r="J107" s="2"/>
      <c r="K107" s="2">
        <v>0</v>
      </c>
      <c r="L107" s="2">
        <v>0</v>
      </c>
    </row>
    <row r="108" spans="1:12" x14ac:dyDescent="0.3">
      <c r="A108" s="1" t="s">
        <v>246</v>
      </c>
      <c r="B108" s="1">
        <f t="shared" si="1"/>
        <v>107</v>
      </c>
    </row>
    <row r="109" spans="1:12" x14ac:dyDescent="0.3">
      <c r="A109" s="1" t="s">
        <v>246</v>
      </c>
      <c r="B109" s="1">
        <f t="shared" si="1"/>
        <v>108</v>
      </c>
    </row>
    <row r="110" spans="1:12" x14ac:dyDescent="0.3">
      <c r="A110" s="1" t="s">
        <v>246</v>
      </c>
      <c r="B110" s="1">
        <f t="shared" si="1"/>
        <v>109</v>
      </c>
    </row>
    <row r="111" spans="1:12" x14ac:dyDescent="0.3">
      <c r="A111" s="1" t="s">
        <v>246</v>
      </c>
      <c r="B111" s="1">
        <f t="shared" si="1"/>
        <v>110</v>
      </c>
    </row>
    <row r="112" spans="1:12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4A58-1827-4D7F-89CC-9D6676120118}">
  <sheetPr codeName="Sheet2"/>
  <dimension ref="A1:P119"/>
  <sheetViews>
    <sheetView workbookViewId="0">
      <pane xSplit="2" ySplit="1" topLeftCell="C95" activePane="bottomRight" state="frozen"/>
      <selection pane="topRight" activeCell="C1" sqref="C1"/>
      <selection pane="bottomLeft" activeCell="A2" sqref="A2"/>
      <selection pane="bottomRight" activeCell="A108" sqref="A108:B108"/>
    </sheetView>
  </sheetViews>
  <sheetFormatPr defaultRowHeight="14.4" x14ac:dyDescent="0.3"/>
  <sheetData>
    <row r="1" spans="1:16" x14ac:dyDescent="0.3">
      <c r="A1" s="1" t="s">
        <v>153</v>
      </c>
      <c r="B1" s="1" t="s">
        <v>154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5" t="e">
        <f ca="1">"INSERT INTO positions ("&amp;_xlfn.TEXTJOIN(",",FALSE,$C1:$O1)&amp;") VALUES "</f>
        <v>#NAME?</v>
      </c>
    </row>
    <row r="2" spans="1:16" x14ac:dyDescent="0.3">
      <c r="A2" s="1" t="s">
        <v>14</v>
      </c>
      <c r="B2" s="1">
        <f t="shared" ref="B2:B65" si="0">ROW(B2)-1</f>
        <v>1</v>
      </c>
    </row>
    <row r="3" spans="1:16" x14ac:dyDescent="0.3">
      <c r="A3" s="1">
        <v>1</v>
      </c>
      <c r="B3" s="1">
        <f t="shared" si="0"/>
        <v>2</v>
      </c>
    </row>
    <row r="4" spans="1:16" x14ac:dyDescent="0.3">
      <c r="A4" s="1">
        <v>2</v>
      </c>
      <c r="B4" s="1">
        <f t="shared" si="0"/>
        <v>3</v>
      </c>
    </row>
    <row r="5" spans="1:16" x14ac:dyDescent="0.3">
      <c r="A5" s="1">
        <v>3</v>
      </c>
      <c r="B5" s="1">
        <f t="shared" si="0"/>
        <v>4</v>
      </c>
    </row>
    <row r="6" spans="1:16" x14ac:dyDescent="0.3">
      <c r="A6" s="1">
        <v>4</v>
      </c>
      <c r="B6" s="1">
        <f t="shared" si="0"/>
        <v>5</v>
      </c>
    </row>
    <row r="7" spans="1:16" x14ac:dyDescent="0.3">
      <c r="A7" s="1">
        <v>5</v>
      </c>
      <c r="B7" s="1">
        <f t="shared" si="0"/>
        <v>6</v>
      </c>
    </row>
    <row r="8" spans="1:16" x14ac:dyDescent="0.3">
      <c r="A8" s="1">
        <v>6</v>
      </c>
      <c r="B8" s="1">
        <f t="shared" si="0"/>
        <v>7</v>
      </c>
    </row>
    <row r="9" spans="1:16" x14ac:dyDescent="0.3">
      <c r="A9" s="1">
        <v>7</v>
      </c>
      <c r="B9" s="1">
        <f t="shared" si="0"/>
        <v>8</v>
      </c>
    </row>
    <row r="10" spans="1:16" x14ac:dyDescent="0.3">
      <c r="A10" s="1">
        <v>8</v>
      </c>
      <c r="B10" s="1">
        <f t="shared" si="0"/>
        <v>9</v>
      </c>
    </row>
    <row r="11" spans="1:16" x14ac:dyDescent="0.3">
      <c r="A11" s="1">
        <v>9</v>
      </c>
      <c r="B11" s="1">
        <f t="shared" si="0"/>
        <v>10</v>
      </c>
    </row>
    <row r="12" spans="1:16" x14ac:dyDescent="0.3">
      <c r="A12" s="1">
        <v>0</v>
      </c>
      <c r="B12" s="1">
        <f t="shared" si="0"/>
        <v>11</v>
      </c>
    </row>
    <row r="13" spans="1:16" x14ac:dyDescent="0.3">
      <c r="A13" s="1" t="s">
        <v>32</v>
      </c>
      <c r="B13" s="1">
        <f t="shared" si="0"/>
        <v>12</v>
      </c>
    </row>
    <row r="14" spans="1:16" x14ac:dyDescent="0.3">
      <c r="A14" s="1" t="s">
        <v>35</v>
      </c>
      <c r="B14" s="1">
        <f t="shared" si="0"/>
        <v>13</v>
      </c>
    </row>
    <row r="15" spans="1:16" x14ac:dyDescent="0.3">
      <c r="A15" s="1" t="s">
        <v>36</v>
      </c>
      <c r="B15" s="1">
        <f t="shared" si="0"/>
        <v>14</v>
      </c>
    </row>
    <row r="16" spans="1:16" x14ac:dyDescent="0.3">
      <c r="A16" s="1" t="s">
        <v>37</v>
      </c>
      <c r="B16" s="1">
        <f t="shared" si="0"/>
        <v>15</v>
      </c>
    </row>
    <row r="17" spans="1:2" x14ac:dyDescent="0.3">
      <c r="A17" s="1" t="s">
        <v>39</v>
      </c>
      <c r="B17" s="1">
        <f t="shared" si="0"/>
        <v>16</v>
      </c>
    </row>
    <row r="18" spans="1:2" x14ac:dyDescent="0.3">
      <c r="A18" s="1" t="s">
        <v>42</v>
      </c>
      <c r="B18" s="1">
        <f t="shared" si="0"/>
        <v>17</v>
      </c>
    </row>
    <row r="19" spans="1:2" x14ac:dyDescent="0.3">
      <c r="A19" s="1" t="s">
        <v>44</v>
      </c>
      <c r="B19" s="1">
        <f t="shared" si="0"/>
        <v>18</v>
      </c>
    </row>
    <row r="20" spans="1:2" x14ac:dyDescent="0.3">
      <c r="A20" s="1" t="s">
        <v>47</v>
      </c>
      <c r="B20" s="1">
        <f t="shared" si="0"/>
        <v>19</v>
      </c>
    </row>
    <row r="21" spans="1:2" x14ac:dyDescent="0.3">
      <c r="A21" s="1" t="s">
        <v>49</v>
      </c>
      <c r="B21" s="1">
        <f t="shared" si="0"/>
        <v>20</v>
      </c>
    </row>
    <row r="22" spans="1:2" x14ac:dyDescent="0.3">
      <c r="A22" s="1" t="s">
        <v>51</v>
      </c>
      <c r="B22" s="1">
        <f t="shared" si="0"/>
        <v>21</v>
      </c>
    </row>
    <row r="23" spans="1:2" x14ac:dyDescent="0.3">
      <c r="A23" s="1" t="s">
        <v>53</v>
      </c>
      <c r="B23" s="1">
        <f t="shared" si="0"/>
        <v>22</v>
      </c>
    </row>
    <row r="24" spans="1:2" x14ac:dyDescent="0.3">
      <c r="A24" s="1" t="s">
        <v>55</v>
      </c>
      <c r="B24" s="1">
        <f t="shared" si="0"/>
        <v>23</v>
      </c>
    </row>
    <row r="25" spans="1:2" x14ac:dyDescent="0.3">
      <c r="A25" s="1" t="s">
        <v>57</v>
      </c>
      <c r="B25" s="1">
        <f t="shared" si="0"/>
        <v>24</v>
      </c>
    </row>
    <row r="26" spans="1:2" x14ac:dyDescent="0.3">
      <c r="A26" s="1" t="s">
        <v>59</v>
      </c>
      <c r="B26" s="1">
        <f t="shared" si="0"/>
        <v>25</v>
      </c>
    </row>
    <row r="27" spans="1:2" x14ac:dyDescent="0.3">
      <c r="A27" s="1" t="s">
        <v>61</v>
      </c>
      <c r="B27" s="1">
        <f t="shared" si="0"/>
        <v>26</v>
      </c>
    </row>
    <row r="28" spans="1:2" x14ac:dyDescent="0.3">
      <c r="A28" s="1" t="s">
        <v>63</v>
      </c>
      <c r="B28" s="1">
        <f t="shared" si="0"/>
        <v>27</v>
      </c>
    </row>
    <row r="29" spans="1:2" x14ac:dyDescent="0.3">
      <c r="A29" s="1" t="s">
        <v>246</v>
      </c>
      <c r="B29" s="1">
        <f t="shared" si="0"/>
        <v>28</v>
      </c>
    </row>
    <row r="30" spans="1:2" x14ac:dyDescent="0.3">
      <c r="A30" s="1" t="s">
        <v>65</v>
      </c>
      <c r="B30" s="1">
        <f t="shared" si="0"/>
        <v>29</v>
      </c>
    </row>
    <row r="31" spans="1:2" x14ac:dyDescent="0.3">
      <c r="A31" s="1" t="s">
        <v>67</v>
      </c>
      <c r="B31" s="1">
        <f t="shared" si="0"/>
        <v>30</v>
      </c>
    </row>
    <row r="32" spans="1:2" x14ac:dyDescent="0.3">
      <c r="A32" s="1" t="s">
        <v>69</v>
      </c>
      <c r="B32" s="1">
        <f t="shared" si="0"/>
        <v>31</v>
      </c>
    </row>
    <row r="33" spans="1:2" x14ac:dyDescent="0.3">
      <c r="A33" s="1" t="s">
        <v>71</v>
      </c>
      <c r="B33" s="1">
        <f t="shared" si="0"/>
        <v>32</v>
      </c>
    </row>
    <row r="34" spans="1:2" x14ac:dyDescent="0.3">
      <c r="A34" s="1" t="s">
        <v>73</v>
      </c>
      <c r="B34" s="1">
        <f t="shared" si="0"/>
        <v>33</v>
      </c>
    </row>
    <row r="35" spans="1:2" x14ac:dyDescent="0.3">
      <c r="A35" s="1" t="s">
        <v>75</v>
      </c>
      <c r="B35" s="1">
        <f t="shared" si="0"/>
        <v>34</v>
      </c>
    </row>
    <row r="36" spans="1:2" x14ac:dyDescent="0.3">
      <c r="A36" s="1" t="s">
        <v>77</v>
      </c>
      <c r="B36" s="1">
        <f t="shared" si="0"/>
        <v>35</v>
      </c>
    </row>
    <row r="37" spans="1:2" x14ac:dyDescent="0.3">
      <c r="A37" s="1" t="s">
        <v>79</v>
      </c>
      <c r="B37" s="1">
        <f t="shared" si="0"/>
        <v>36</v>
      </c>
    </row>
    <row r="38" spans="1:2" x14ac:dyDescent="0.3">
      <c r="A38" s="1" t="s">
        <v>81</v>
      </c>
      <c r="B38" s="1">
        <f t="shared" si="0"/>
        <v>37</v>
      </c>
    </row>
    <row r="39" spans="1:2" x14ac:dyDescent="0.3">
      <c r="A39" s="1" t="s">
        <v>83</v>
      </c>
      <c r="B39" s="1">
        <f t="shared" si="0"/>
        <v>38</v>
      </c>
    </row>
    <row r="40" spans="1:2" x14ac:dyDescent="0.3">
      <c r="A40" s="1" t="s">
        <v>85</v>
      </c>
      <c r="B40" s="1">
        <f t="shared" si="0"/>
        <v>39</v>
      </c>
    </row>
    <row r="41" spans="1:2" x14ac:dyDescent="0.3">
      <c r="A41" s="1" t="s">
        <v>87</v>
      </c>
      <c r="B41" s="1">
        <f t="shared" si="0"/>
        <v>40</v>
      </c>
    </row>
    <row r="42" spans="1:2" x14ac:dyDescent="0.3">
      <c r="A42" s="1" t="s">
        <v>16</v>
      </c>
      <c r="B42" s="1">
        <f t="shared" si="0"/>
        <v>41</v>
      </c>
    </row>
    <row r="43" spans="1:2" x14ac:dyDescent="0.3">
      <c r="A43" s="1" t="s">
        <v>89</v>
      </c>
      <c r="B43" s="1">
        <f t="shared" si="0"/>
        <v>42</v>
      </c>
    </row>
    <row r="44" spans="1:2" x14ac:dyDescent="0.3">
      <c r="A44" s="1" t="s">
        <v>90</v>
      </c>
      <c r="B44" s="1">
        <f t="shared" si="0"/>
        <v>43</v>
      </c>
    </row>
    <row r="45" spans="1:2" x14ac:dyDescent="0.3">
      <c r="A45" s="1" t="s">
        <v>92</v>
      </c>
      <c r="B45" s="1">
        <f t="shared" si="0"/>
        <v>44</v>
      </c>
    </row>
    <row r="46" spans="1:2" x14ac:dyDescent="0.3">
      <c r="A46" s="1" t="s">
        <v>95</v>
      </c>
      <c r="B46" s="1">
        <f t="shared" si="0"/>
        <v>45</v>
      </c>
    </row>
    <row r="47" spans="1:2" x14ac:dyDescent="0.3">
      <c r="A47" s="1" t="s">
        <v>97</v>
      </c>
      <c r="B47" s="1">
        <f t="shared" si="0"/>
        <v>46</v>
      </c>
    </row>
    <row r="48" spans="1:2" x14ac:dyDescent="0.3">
      <c r="A48" s="1" t="s">
        <v>99</v>
      </c>
      <c r="B48" s="1">
        <f t="shared" si="0"/>
        <v>47</v>
      </c>
    </row>
    <row r="49" spans="1:2" x14ac:dyDescent="0.3">
      <c r="A49" s="1" t="s">
        <v>101</v>
      </c>
      <c r="B49" s="1">
        <f t="shared" si="0"/>
        <v>48</v>
      </c>
    </row>
    <row r="50" spans="1:2" x14ac:dyDescent="0.3">
      <c r="A50" s="1" t="s">
        <v>103</v>
      </c>
      <c r="B50" s="1">
        <f t="shared" si="0"/>
        <v>49</v>
      </c>
    </row>
    <row r="51" spans="1:2" x14ac:dyDescent="0.3">
      <c r="A51" s="1" t="s">
        <v>105</v>
      </c>
      <c r="B51" s="1">
        <f t="shared" si="0"/>
        <v>50</v>
      </c>
    </row>
    <row r="52" spans="1:2" x14ac:dyDescent="0.3">
      <c r="A52" s="1" t="s">
        <v>107</v>
      </c>
      <c r="B52" s="1">
        <f t="shared" si="0"/>
        <v>51</v>
      </c>
    </row>
    <row r="53" spans="1:2" x14ac:dyDescent="0.3">
      <c r="A53" s="1" t="s">
        <v>110</v>
      </c>
      <c r="B53" s="1">
        <f t="shared" si="0"/>
        <v>52</v>
      </c>
    </row>
    <row r="54" spans="1:2" x14ac:dyDescent="0.3">
      <c r="A54" s="1" t="s">
        <v>112</v>
      </c>
      <c r="B54" s="1">
        <f t="shared" si="0"/>
        <v>53</v>
      </c>
    </row>
    <row r="55" spans="1:2" x14ac:dyDescent="0.3">
      <c r="A55" s="1" t="s">
        <v>114</v>
      </c>
      <c r="B55" s="1">
        <f t="shared" si="0"/>
        <v>54</v>
      </c>
    </row>
    <row r="56" spans="1:2" x14ac:dyDescent="0.3">
      <c r="A56" s="1" t="s">
        <v>115</v>
      </c>
      <c r="B56" s="1">
        <f t="shared" si="0"/>
        <v>55</v>
      </c>
    </row>
    <row r="57" spans="1:2" x14ac:dyDescent="0.3">
      <c r="A57" s="1" t="s">
        <v>116</v>
      </c>
      <c r="B57" s="1">
        <f t="shared" si="0"/>
        <v>56</v>
      </c>
    </row>
    <row r="58" spans="1:2" x14ac:dyDescent="0.3">
      <c r="A58" s="1" t="s">
        <v>117</v>
      </c>
      <c r="B58" s="1">
        <f t="shared" si="0"/>
        <v>57</v>
      </c>
    </row>
    <row r="59" spans="1:2" x14ac:dyDescent="0.3">
      <c r="A59" s="1" t="s">
        <v>118</v>
      </c>
      <c r="B59" s="1">
        <f t="shared" si="0"/>
        <v>58</v>
      </c>
    </row>
    <row r="60" spans="1:2" x14ac:dyDescent="0.3">
      <c r="A60" s="1" t="s">
        <v>119</v>
      </c>
      <c r="B60" s="1">
        <f t="shared" si="0"/>
        <v>59</v>
      </c>
    </row>
    <row r="61" spans="1:2" x14ac:dyDescent="0.3">
      <c r="A61" s="1" t="s">
        <v>120</v>
      </c>
      <c r="B61" s="1">
        <f t="shared" si="0"/>
        <v>60</v>
      </c>
    </row>
    <row r="62" spans="1:2" x14ac:dyDescent="0.3">
      <c r="A62" s="1" t="s">
        <v>121</v>
      </c>
      <c r="B62" s="1">
        <f t="shared" si="0"/>
        <v>61</v>
      </c>
    </row>
    <row r="63" spans="1:2" x14ac:dyDescent="0.3">
      <c r="A63" s="1" t="s">
        <v>122</v>
      </c>
      <c r="B63" s="1">
        <f t="shared" si="0"/>
        <v>62</v>
      </c>
    </row>
    <row r="64" spans="1:2" x14ac:dyDescent="0.3">
      <c r="A64" s="1" t="s">
        <v>123</v>
      </c>
      <c r="B64" s="1">
        <f t="shared" si="0"/>
        <v>63</v>
      </c>
    </row>
    <row r="65" spans="1:2" x14ac:dyDescent="0.3">
      <c r="A65" s="1" t="s">
        <v>124</v>
      </c>
      <c r="B65" s="1">
        <f t="shared" si="0"/>
        <v>64</v>
      </c>
    </row>
    <row r="66" spans="1:2" x14ac:dyDescent="0.3">
      <c r="A66" s="1" t="s">
        <v>125</v>
      </c>
      <c r="B66" s="1">
        <f t="shared" ref="B66:B119" si="1">ROW(B66)-1</f>
        <v>65</v>
      </c>
    </row>
    <row r="67" spans="1:2" x14ac:dyDescent="0.3">
      <c r="A67" s="1" t="s">
        <v>126</v>
      </c>
      <c r="B67" s="1">
        <f t="shared" si="1"/>
        <v>66</v>
      </c>
    </row>
    <row r="68" spans="1:2" x14ac:dyDescent="0.3">
      <c r="A68" s="1" t="s">
        <v>127</v>
      </c>
      <c r="B68" s="1">
        <f t="shared" si="1"/>
        <v>67</v>
      </c>
    </row>
    <row r="69" spans="1:2" x14ac:dyDescent="0.3">
      <c r="A69" s="1" t="s">
        <v>128</v>
      </c>
      <c r="B69" s="1">
        <f t="shared" si="1"/>
        <v>68</v>
      </c>
    </row>
    <row r="70" spans="1:2" x14ac:dyDescent="0.3">
      <c r="A70" s="1" t="s">
        <v>129</v>
      </c>
      <c r="B70" s="1">
        <f t="shared" si="1"/>
        <v>69</v>
      </c>
    </row>
    <row r="71" spans="1:2" x14ac:dyDescent="0.3">
      <c r="A71" s="1" t="s">
        <v>130</v>
      </c>
      <c r="B71" s="1">
        <f t="shared" si="1"/>
        <v>70</v>
      </c>
    </row>
    <row r="72" spans="1:2" x14ac:dyDescent="0.3">
      <c r="A72" s="1" t="s">
        <v>131</v>
      </c>
      <c r="B72" s="1">
        <f t="shared" si="1"/>
        <v>71</v>
      </c>
    </row>
    <row r="73" spans="1:2" x14ac:dyDescent="0.3">
      <c r="A73" s="1" t="s">
        <v>124</v>
      </c>
      <c r="B73" s="1">
        <f t="shared" si="1"/>
        <v>72</v>
      </c>
    </row>
    <row r="74" spans="1:2" x14ac:dyDescent="0.3">
      <c r="A74" s="1" t="s">
        <v>123</v>
      </c>
      <c r="B74" s="1">
        <f t="shared" si="1"/>
        <v>73</v>
      </c>
    </row>
    <row r="75" spans="1:2" x14ac:dyDescent="0.3">
      <c r="A75" s="1" t="s">
        <v>125</v>
      </c>
      <c r="B75" s="1">
        <f t="shared" si="1"/>
        <v>74</v>
      </c>
    </row>
    <row r="76" spans="1:2" x14ac:dyDescent="0.3">
      <c r="A76" s="1" t="s">
        <v>132</v>
      </c>
      <c r="B76" s="1">
        <f t="shared" si="1"/>
        <v>75</v>
      </c>
    </row>
    <row r="77" spans="1:2" x14ac:dyDescent="0.3">
      <c r="A77" s="1" t="s">
        <v>126</v>
      </c>
      <c r="B77" s="1">
        <f t="shared" si="1"/>
        <v>76</v>
      </c>
    </row>
    <row r="78" spans="1:2" x14ac:dyDescent="0.3">
      <c r="A78" s="1" t="s">
        <v>156</v>
      </c>
      <c r="B78" s="1">
        <f t="shared" si="1"/>
        <v>77</v>
      </c>
    </row>
    <row r="79" spans="1:2" x14ac:dyDescent="0.3">
      <c r="A79" s="1" t="s">
        <v>127</v>
      </c>
      <c r="B79" s="1">
        <f t="shared" si="1"/>
        <v>78</v>
      </c>
    </row>
    <row r="80" spans="1:2" x14ac:dyDescent="0.3">
      <c r="A80" s="1" t="s">
        <v>121</v>
      </c>
      <c r="B80" s="1">
        <f t="shared" si="1"/>
        <v>79</v>
      </c>
    </row>
    <row r="81" spans="1:2" x14ac:dyDescent="0.3">
      <c r="A81" s="1" t="s">
        <v>133</v>
      </c>
      <c r="B81" s="1">
        <f t="shared" si="1"/>
        <v>80</v>
      </c>
    </row>
    <row r="82" spans="1:2" x14ac:dyDescent="0.3">
      <c r="A82" s="1" t="s">
        <v>128</v>
      </c>
      <c r="B82" s="1">
        <f t="shared" si="1"/>
        <v>81</v>
      </c>
    </row>
    <row r="83" spans="1:2" x14ac:dyDescent="0.3">
      <c r="A83" s="1" t="s">
        <v>130</v>
      </c>
      <c r="B83" s="1">
        <f t="shared" si="1"/>
        <v>82</v>
      </c>
    </row>
    <row r="84" spans="1:2" x14ac:dyDescent="0.3">
      <c r="A84" s="1" t="s">
        <v>129</v>
      </c>
      <c r="B84" s="1">
        <f t="shared" si="1"/>
        <v>83</v>
      </c>
    </row>
    <row r="85" spans="1:2" x14ac:dyDescent="0.3">
      <c r="A85" s="1" t="s">
        <v>122</v>
      </c>
      <c r="B85" s="1">
        <f t="shared" si="1"/>
        <v>84</v>
      </c>
    </row>
    <row r="86" spans="1:2" x14ac:dyDescent="0.3">
      <c r="A86" s="1" t="s">
        <v>114</v>
      </c>
      <c r="B86" s="1">
        <f t="shared" si="1"/>
        <v>85</v>
      </c>
    </row>
    <row r="87" spans="1:2" x14ac:dyDescent="0.3">
      <c r="A87" s="1" t="s">
        <v>63</v>
      </c>
      <c r="B87" s="1">
        <f t="shared" si="1"/>
        <v>86</v>
      </c>
    </row>
    <row r="88" spans="1:2" x14ac:dyDescent="0.3">
      <c r="A88" s="1" t="s">
        <v>89</v>
      </c>
      <c r="B88" s="1">
        <f t="shared" si="1"/>
        <v>87</v>
      </c>
    </row>
    <row r="89" spans="1:2" x14ac:dyDescent="0.3">
      <c r="A89" s="1" t="s">
        <v>134</v>
      </c>
      <c r="B89" s="1">
        <f t="shared" si="1"/>
        <v>88</v>
      </c>
    </row>
    <row r="90" spans="1:2" x14ac:dyDescent="0.3">
      <c r="A90" s="1" t="s">
        <v>135</v>
      </c>
      <c r="B90" s="1">
        <f t="shared" si="1"/>
        <v>89</v>
      </c>
    </row>
    <row r="91" spans="1:2" x14ac:dyDescent="0.3">
      <c r="A91" s="1" t="s">
        <v>136</v>
      </c>
      <c r="B91" s="1">
        <f t="shared" si="1"/>
        <v>90</v>
      </c>
    </row>
    <row r="92" spans="1:2" x14ac:dyDescent="0.3">
      <c r="A92" s="1" t="s">
        <v>137</v>
      </c>
      <c r="B92" s="1">
        <f t="shared" si="1"/>
        <v>91</v>
      </c>
    </row>
    <row r="93" spans="1:2" x14ac:dyDescent="0.3">
      <c r="A93" s="1" t="s">
        <v>138</v>
      </c>
      <c r="B93" s="1">
        <f t="shared" si="1"/>
        <v>92</v>
      </c>
    </row>
    <row r="94" spans="1:2" x14ac:dyDescent="0.3">
      <c r="A94" s="1" t="s">
        <v>139</v>
      </c>
      <c r="B94" s="1">
        <f t="shared" si="1"/>
        <v>93</v>
      </c>
    </row>
    <row r="95" spans="1:2" x14ac:dyDescent="0.3">
      <c r="A95" s="1" t="s">
        <v>140</v>
      </c>
      <c r="B95" s="1">
        <f t="shared" si="1"/>
        <v>94</v>
      </c>
    </row>
    <row r="96" spans="1:2" x14ac:dyDescent="0.3">
      <c r="A96" s="1" t="s">
        <v>141</v>
      </c>
      <c r="B96" s="1">
        <f t="shared" si="1"/>
        <v>95</v>
      </c>
    </row>
    <row r="97" spans="1:2" x14ac:dyDescent="0.3">
      <c r="A97" s="1" t="s">
        <v>142</v>
      </c>
      <c r="B97" s="1">
        <f t="shared" si="1"/>
        <v>96</v>
      </c>
    </row>
    <row r="98" spans="1:2" x14ac:dyDescent="0.3">
      <c r="A98" s="1" t="s">
        <v>143</v>
      </c>
      <c r="B98" s="1">
        <f t="shared" si="1"/>
        <v>97</v>
      </c>
    </row>
    <row r="99" spans="1:2" x14ac:dyDescent="0.3">
      <c r="A99" s="1" t="s">
        <v>144</v>
      </c>
      <c r="B99" s="1">
        <f t="shared" si="1"/>
        <v>98</v>
      </c>
    </row>
    <row r="100" spans="1:2" x14ac:dyDescent="0.3">
      <c r="A100" s="1" t="s">
        <v>145</v>
      </c>
      <c r="B100" s="1">
        <f t="shared" si="1"/>
        <v>99</v>
      </c>
    </row>
    <row r="101" spans="1:2" x14ac:dyDescent="0.3">
      <c r="A101" s="1" t="s">
        <v>146</v>
      </c>
      <c r="B101" s="1">
        <f t="shared" si="1"/>
        <v>100</v>
      </c>
    </row>
    <row r="102" spans="1:2" x14ac:dyDescent="0.3">
      <c r="A102" s="1" t="s">
        <v>147</v>
      </c>
      <c r="B102" s="1">
        <f t="shared" si="1"/>
        <v>101</v>
      </c>
    </row>
    <row r="103" spans="1:2" x14ac:dyDescent="0.3">
      <c r="A103" s="1" t="s">
        <v>148</v>
      </c>
      <c r="B103" s="1">
        <f t="shared" si="1"/>
        <v>102</v>
      </c>
    </row>
    <row r="104" spans="1:2" x14ac:dyDescent="0.3">
      <c r="A104" s="1" t="s">
        <v>149</v>
      </c>
      <c r="B104" s="1">
        <f t="shared" si="1"/>
        <v>103</v>
      </c>
    </row>
    <row r="105" spans="1:2" x14ac:dyDescent="0.3">
      <c r="A105" s="1" t="s">
        <v>157</v>
      </c>
      <c r="B105" s="1">
        <f t="shared" si="1"/>
        <v>104</v>
      </c>
    </row>
    <row r="106" spans="1:2" x14ac:dyDescent="0.3">
      <c r="A106" s="1" t="s">
        <v>158</v>
      </c>
      <c r="B106" s="1">
        <f t="shared" si="1"/>
        <v>105</v>
      </c>
    </row>
    <row r="107" spans="1:2" x14ac:dyDescent="0.3">
      <c r="A107" s="1" t="s">
        <v>152</v>
      </c>
      <c r="B107" s="1">
        <f t="shared" si="1"/>
        <v>106</v>
      </c>
    </row>
    <row r="108" spans="1:2" x14ac:dyDescent="0.3">
      <c r="A108" s="1" t="s">
        <v>246</v>
      </c>
      <c r="B108" s="1">
        <f t="shared" si="1"/>
        <v>107</v>
      </c>
    </row>
    <row r="109" spans="1:2" x14ac:dyDescent="0.3">
      <c r="A109" s="1" t="s">
        <v>246</v>
      </c>
      <c r="B109" s="1">
        <f t="shared" si="1"/>
        <v>108</v>
      </c>
    </row>
    <row r="110" spans="1:2" x14ac:dyDescent="0.3">
      <c r="A110" s="1" t="s">
        <v>246</v>
      </c>
      <c r="B110" s="1">
        <f t="shared" si="1"/>
        <v>109</v>
      </c>
    </row>
    <row r="111" spans="1:2" x14ac:dyDescent="0.3">
      <c r="A111" s="1" t="s">
        <v>246</v>
      </c>
      <c r="B111" s="1">
        <f t="shared" si="1"/>
        <v>110</v>
      </c>
    </row>
    <row r="112" spans="1:2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3FA04-D1D0-40C5-8972-CA29054BD931}">
  <sheetPr codeName="Sheet3"/>
  <dimension ref="A1:L119"/>
  <sheetViews>
    <sheetView workbookViewId="0">
      <pane xSplit="2" ySplit="1" topLeftCell="C92" activePane="bottomRight" state="frozen"/>
      <selection pane="topRight" activeCell="C1" sqref="C1"/>
      <selection pane="bottomLeft" activeCell="A2" sqref="A2"/>
      <selection pane="bottomRight" activeCell="A108" sqref="A108:B119"/>
    </sheetView>
  </sheetViews>
  <sheetFormatPr defaultRowHeight="14.4" x14ac:dyDescent="0.3"/>
  <sheetData>
    <row r="1" spans="1:12" x14ac:dyDescent="0.3">
      <c r="A1" s="1" t="s">
        <v>153</v>
      </c>
      <c r="B1" s="1" t="s">
        <v>154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</row>
    <row r="2" spans="1:12" x14ac:dyDescent="0.3">
      <c r="A2" s="1" t="s">
        <v>162</v>
      </c>
      <c r="B2" s="1">
        <f t="shared" ref="B2:B65" si="0">ROW(B2)-1</f>
        <v>1</v>
      </c>
      <c r="C2" s="2">
        <v>0</v>
      </c>
      <c r="D2" s="2">
        <v>108</v>
      </c>
      <c r="E2" s="2">
        <v>72</v>
      </c>
      <c r="F2" s="2">
        <v>72</v>
      </c>
      <c r="G2" s="2" t="s">
        <v>187</v>
      </c>
      <c r="H2" s="9" t="s">
        <v>199</v>
      </c>
      <c r="I2" s="2"/>
      <c r="J2" s="2" t="s">
        <v>92</v>
      </c>
      <c r="K2" s="2">
        <v>0</v>
      </c>
      <c r="L2" s="2">
        <v>0</v>
      </c>
    </row>
    <row r="3" spans="1:12" x14ac:dyDescent="0.3">
      <c r="A3" s="1">
        <v>1</v>
      </c>
      <c r="B3" s="1">
        <f t="shared" si="0"/>
        <v>2</v>
      </c>
      <c r="C3" s="2">
        <v>72</v>
      </c>
      <c r="D3" s="2">
        <v>108</v>
      </c>
      <c r="E3" s="2">
        <v>72</v>
      </c>
      <c r="F3" s="2">
        <v>72</v>
      </c>
      <c r="G3" s="2" t="s">
        <v>15</v>
      </c>
      <c r="H3" s="2">
        <v>1</v>
      </c>
      <c r="I3" s="2"/>
      <c r="J3" s="2" t="s">
        <v>91</v>
      </c>
      <c r="K3" s="2">
        <v>0</v>
      </c>
      <c r="L3" s="2">
        <v>0</v>
      </c>
    </row>
    <row r="4" spans="1:12" x14ac:dyDescent="0.3">
      <c r="A4" s="1">
        <v>2</v>
      </c>
      <c r="B4" s="1">
        <f t="shared" si="0"/>
        <v>3</v>
      </c>
      <c r="C4" s="2">
        <v>144</v>
      </c>
      <c r="D4" s="2">
        <v>108</v>
      </c>
      <c r="E4" s="2">
        <v>72</v>
      </c>
      <c r="F4" s="2">
        <v>72</v>
      </c>
      <c r="G4" s="10" t="s">
        <v>244</v>
      </c>
      <c r="H4" s="2">
        <v>2</v>
      </c>
      <c r="I4" s="2"/>
      <c r="J4" s="2" t="s">
        <v>193</v>
      </c>
      <c r="K4" s="2">
        <v>0</v>
      </c>
      <c r="L4" s="2">
        <v>0</v>
      </c>
    </row>
    <row r="5" spans="1:12" x14ac:dyDescent="0.3">
      <c r="A5" s="1">
        <v>3</v>
      </c>
      <c r="B5" s="1">
        <f t="shared" si="0"/>
        <v>4</v>
      </c>
      <c r="C5" s="2">
        <v>216</v>
      </c>
      <c r="D5" s="2">
        <v>108</v>
      </c>
      <c r="E5" s="2">
        <v>72</v>
      </c>
      <c r="F5" s="2">
        <v>72</v>
      </c>
      <c r="G5" s="2" t="s">
        <v>14</v>
      </c>
      <c r="H5" s="2">
        <v>3</v>
      </c>
      <c r="I5" s="2"/>
      <c r="J5" s="2" t="s">
        <v>16</v>
      </c>
      <c r="K5" s="2">
        <v>0</v>
      </c>
      <c r="L5" s="2">
        <v>0</v>
      </c>
    </row>
    <row r="6" spans="1:12" x14ac:dyDescent="0.3">
      <c r="A6" s="1">
        <v>4</v>
      </c>
      <c r="B6" s="1">
        <f t="shared" si="0"/>
        <v>5</v>
      </c>
      <c r="C6" s="2">
        <v>288</v>
      </c>
      <c r="D6" s="2">
        <v>108</v>
      </c>
      <c r="E6" s="2">
        <v>72</v>
      </c>
      <c r="F6" s="2">
        <v>72</v>
      </c>
      <c r="G6" s="2" t="s">
        <v>63</v>
      </c>
      <c r="H6" s="2">
        <v>4</v>
      </c>
      <c r="I6" s="2"/>
      <c r="J6" s="2" t="s">
        <v>20</v>
      </c>
      <c r="K6" s="2">
        <v>0</v>
      </c>
      <c r="L6" s="2">
        <v>0</v>
      </c>
    </row>
    <row r="7" spans="1:12" x14ac:dyDescent="0.3">
      <c r="A7" s="1">
        <v>5</v>
      </c>
      <c r="B7" s="1">
        <f t="shared" si="0"/>
        <v>6</v>
      </c>
      <c r="C7" s="2">
        <v>360</v>
      </c>
      <c r="D7" s="2">
        <v>108</v>
      </c>
      <c r="E7" s="2">
        <v>72</v>
      </c>
      <c r="F7" s="2">
        <v>72</v>
      </c>
      <c r="G7" s="2" t="s">
        <v>21</v>
      </c>
      <c r="H7" s="2">
        <v>5</v>
      </c>
      <c r="I7" s="2"/>
      <c r="J7" s="2" t="s">
        <v>194</v>
      </c>
      <c r="K7" s="2">
        <v>0</v>
      </c>
      <c r="L7" s="2">
        <v>0</v>
      </c>
    </row>
    <row r="8" spans="1:12" x14ac:dyDescent="0.3">
      <c r="A8" s="1">
        <v>6</v>
      </c>
      <c r="B8" s="1">
        <f t="shared" si="0"/>
        <v>7</v>
      </c>
      <c r="C8" s="2">
        <v>432</v>
      </c>
      <c r="D8" s="2">
        <v>108</v>
      </c>
      <c r="E8" s="2">
        <v>72</v>
      </c>
      <c r="F8" s="2">
        <v>72</v>
      </c>
      <c r="G8" s="2" t="s">
        <v>22</v>
      </c>
      <c r="H8" s="2">
        <v>6</v>
      </c>
      <c r="I8" s="2"/>
      <c r="J8" s="2"/>
      <c r="K8" s="2">
        <v>0</v>
      </c>
      <c r="L8" s="2">
        <v>0</v>
      </c>
    </row>
    <row r="9" spans="1:12" x14ac:dyDescent="0.3">
      <c r="A9" s="1">
        <v>7</v>
      </c>
      <c r="B9" s="1">
        <f t="shared" si="0"/>
        <v>8</v>
      </c>
      <c r="C9" s="2">
        <v>504</v>
      </c>
      <c r="D9" s="2">
        <v>108</v>
      </c>
      <c r="E9" s="2">
        <v>72</v>
      </c>
      <c r="F9" s="2">
        <v>72</v>
      </c>
      <c r="G9" s="2" t="s">
        <v>23</v>
      </c>
      <c r="H9" s="2">
        <v>7</v>
      </c>
      <c r="I9" s="2"/>
      <c r="J9" s="2" t="s">
        <v>24</v>
      </c>
      <c r="K9" s="2">
        <v>0</v>
      </c>
      <c r="L9" s="2">
        <v>0</v>
      </c>
    </row>
    <row r="10" spans="1:12" x14ac:dyDescent="0.3">
      <c r="A10" s="1">
        <v>8</v>
      </c>
      <c r="B10" s="1">
        <f t="shared" si="0"/>
        <v>9</v>
      </c>
      <c r="C10" s="2">
        <v>576</v>
      </c>
      <c r="D10" s="2">
        <v>108</v>
      </c>
      <c r="E10" s="2">
        <v>72</v>
      </c>
      <c r="F10" s="2">
        <v>72</v>
      </c>
      <c r="G10" s="2" t="s">
        <v>25</v>
      </c>
      <c r="H10" s="2">
        <v>8</v>
      </c>
      <c r="I10" s="2"/>
      <c r="J10" s="2" t="s">
        <v>26</v>
      </c>
      <c r="K10" s="2">
        <v>0</v>
      </c>
      <c r="L10" s="2">
        <v>0</v>
      </c>
    </row>
    <row r="11" spans="1:12" x14ac:dyDescent="0.3">
      <c r="A11" s="1">
        <v>9</v>
      </c>
      <c r="B11" s="1">
        <f t="shared" si="0"/>
        <v>10</v>
      </c>
      <c r="C11" s="2">
        <v>648</v>
      </c>
      <c r="D11" s="2">
        <v>108</v>
      </c>
      <c r="E11" s="2">
        <v>72</v>
      </c>
      <c r="F11" s="2">
        <v>72</v>
      </c>
      <c r="G11" s="2" t="s">
        <v>27</v>
      </c>
      <c r="H11" s="2">
        <v>9</v>
      </c>
      <c r="I11" s="2"/>
      <c r="J11" s="2" t="s">
        <v>28</v>
      </c>
      <c r="K11" s="2">
        <v>0</v>
      </c>
      <c r="L11" s="2">
        <v>0</v>
      </c>
    </row>
    <row r="12" spans="1:12" x14ac:dyDescent="0.3">
      <c r="A12" s="1">
        <v>0</v>
      </c>
      <c r="B12" s="1">
        <f t="shared" si="0"/>
        <v>11</v>
      </c>
      <c r="C12" s="2">
        <v>720</v>
      </c>
      <c r="D12" s="2">
        <v>108</v>
      </c>
      <c r="E12" s="2">
        <v>72</v>
      </c>
      <c r="F12" s="2">
        <v>72</v>
      </c>
      <c r="G12" s="2" t="s">
        <v>29</v>
      </c>
      <c r="H12" s="2">
        <v>0</v>
      </c>
      <c r="I12" s="2"/>
      <c r="J12" s="2" t="s">
        <v>30</v>
      </c>
      <c r="K12" s="2">
        <v>0</v>
      </c>
      <c r="L12" s="2">
        <v>0</v>
      </c>
    </row>
    <row r="13" spans="1:12" x14ac:dyDescent="0.3">
      <c r="A13" s="1" t="s">
        <v>62</v>
      </c>
      <c r="B13" s="1">
        <f t="shared" si="0"/>
        <v>12</v>
      </c>
      <c r="C13" s="2">
        <v>792</v>
      </c>
      <c r="D13" s="2">
        <v>108</v>
      </c>
      <c r="E13" s="2">
        <v>72</v>
      </c>
      <c r="F13" s="2">
        <v>72</v>
      </c>
      <c r="G13" s="2" t="s">
        <v>31</v>
      </c>
      <c r="H13" s="2" t="s">
        <v>62</v>
      </c>
      <c r="I13" s="2"/>
      <c r="J13" s="9" t="s">
        <v>200</v>
      </c>
      <c r="K13" s="2">
        <v>0</v>
      </c>
      <c r="L13" s="2">
        <v>0</v>
      </c>
    </row>
    <row r="14" spans="1:12" x14ac:dyDescent="0.3">
      <c r="A14" s="1" t="s">
        <v>114</v>
      </c>
      <c r="B14" s="1">
        <f t="shared" si="0"/>
        <v>13</v>
      </c>
      <c r="C14" s="2">
        <v>864</v>
      </c>
      <c r="D14" s="2">
        <v>108</v>
      </c>
      <c r="E14" s="2">
        <v>72</v>
      </c>
      <c r="F14" s="2">
        <v>72</v>
      </c>
      <c r="G14" s="2" t="s">
        <v>113</v>
      </c>
      <c r="H14" s="2" t="s">
        <v>114</v>
      </c>
      <c r="I14" s="2"/>
      <c r="J14" s="2" t="s">
        <v>93</v>
      </c>
      <c r="K14" s="2">
        <v>0</v>
      </c>
      <c r="L14" s="2">
        <v>0</v>
      </c>
    </row>
    <row r="15" spans="1:12" x14ac:dyDescent="0.3">
      <c r="A15" s="1" t="s">
        <v>163</v>
      </c>
      <c r="B15" s="1">
        <f t="shared" si="0"/>
        <v>14</v>
      </c>
      <c r="C15" s="2">
        <v>936</v>
      </c>
      <c r="D15" s="2">
        <v>108</v>
      </c>
      <c r="E15" s="2">
        <v>144</v>
      </c>
      <c r="F15" s="2">
        <v>72</v>
      </c>
      <c r="G15" s="2"/>
      <c r="H15" s="2" t="s">
        <v>163</v>
      </c>
      <c r="I15" s="2"/>
      <c r="J15" s="2"/>
      <c r="K15" s="2">
        <v>0</v>
      </c>
      <c r="L15" s="2">
        <v>0</v>
      </c>
    </row>
    <row r="16" spans="1:12" x14ac:dyDescent="0.3">
      <c r="A16" s="1" t="s">
        <v>164</v>
      </c>
      <c r="B16" s="1">
        <f t="shared" si="0"/>
        <v>15</v>
      </c>
      <c r="C16" s="2">
        <v>0</v>
      </c>
      <c r="D16" s="2">
        <v>180</v>
      </c>
      <c r="E16" s="2">
        <v>108</v>
      </c>
      <c r="F16" s="2">
        <v>72</v>
      </c>
      <c r="G16" s="2"/>
      <c r="H16" s="2" t="s">
        <v>164</v>
      </c>
      <c r="I16" s="2"/>
      <c r="J16" s="2"/>
      <c r="K16" s="2">
        <v>0</v>
      </c>
      <c r="L16" s="2">
        <v>0</v>
      </c>
    </row>
    <row r="17" spans="1:12" x14ac:dyDescent="0.3">
      <c r="A17" s="1" t="s">
        <v>39</v>
      </c>
      <c r="B17" s="1">
        <f t="shared" si="0"/>
        <v>16</v>
      </c>
      <c r="C17" s="2">
        <v>108</v>
      </c>
      <c r="D17" s="2">
        <v>180</v>
      </c>
      <c r="E17" s="2">
        <v>72</v>
      </c>
      <c r="F17" s="2">
        <v>72</v>
      </c>
      <c r="G17" s="2" t="s">
        <v>38</v>
      </c>
      <c r="H17" s="2" t="s">
        <v>39</v>
      </c>
      <c r="I17" s="2"/>
      <c r="J17" s="2" t="s">
        <v>40</v>
      </c>
      <c r="K17" s="2">
        <v>1</v>
      </c>
      <c r="L17" s="2">
        <v>0</v>
      </c>
    </row>
    <row r="18" spans="1:12" x14ac:dyDescent="0.3">
      <c r="A18" s="1" t="s">
        <v>42</v>
      </c>
      <c r="B18" s="1">
        <f t="shared" si="0"/>
        <v>17</v>
      </c>
      <c r="C18" s="2">
        <v>180</v>
      </c>
      <c r="D18" s="2">
        <v>180</v>
      </c>
      <c r="E18" s="2">
        <v>72</v>
      </c>
      <c r="F18" s="2">
        <v>72</v>
      </c>
      <c r="G18" s="2" t="s">
        <v>41</v>
      </c>
      <c r="H18" s="2" t="s">
        <v>42</v>
      </c>
      <c r="I18" s="2"/>
      <c r="J18" s="2"/>
      <c r="K18" s="2">
        <v>1</v>
      </c>
      <c r="L18" s="2">
        <v>0</v>
      </c>
    </row>
    <row r="19" spans="1:12" x14ac:dyDescent="0.3">
      <c r="A19" s="1" t="s">
        <v>44</v>
      </c>
      <c r="B19" s="1">
        <f t="shared" si="0"/>
        <v>18</v>
      </c>
      <c r="C19" s="2">
        <v>252</v>
      </c>
      <c r="D19" s="2">
        <v>180</v>
      </c>
      <c r="E19" s="2">
        <v>72</v>
      </c>
      <c r="F19" s="2">
        <v>72</v>
      </c>
      <c r="G19" s="2" t="s">
        <v>43</v>
      </c>
      <c r="H19" s="2" t="s">
        <v>44</v>
      </c>
      <c r="I19" s="2"/>
      <c r="J19" s="2" t="s">
        <v>45</v>
      </c>
      <c r="K19" s="2">
        <v>1</v>
      </c>
      <c r="L19" s="2">
        <v>0</v>
      </c>
    </row>
    <row r="20" spans="1:12" x14ac:dyDescent="0.3">
      <c r="A20" s="1" t="s">
        <v>47</v>
      </c>
      <c r="B20" s="1">
        <f t="shared" si="0"/>
        <v>19</v>
      </c>
      <c r="C20" s="2">
        <v>324</v>
      </c>
      <c r="D20" s="2">
        <v>180</v>
      </c>
      <c r="E20" s="2">
        <v>72</v>
      </c>
      <c r="F20" s="2">
        <v>72</v>
      </c>
      <c r="G20" s="2" t="s">
        <v>46</v>
      </c>
      <c r="H20" s="2" t="s">
        <v>47</v>
      </c>
      <c r="I20" s="2"/>
      <c r="J20" s="2"/>
      <c r="K20" s="2">
        <v>1</v>
      </c>
      <c r="L20" s="2">
        <v>0</v>
      </c>
    </row>
    <row r="21" spans="1:12" x14ac:dyDescent="0.3">
      <c r="A21" s="1" t="s">
        <v>49</v>
      </c>
      <c r="B21" s="1">
        <f t="shared" si="0"/>
        <v>20</v>
      </c>
      <c r="C21" s="2">
        <v>396</v>
      </c>
      <c r="D21" s="2">
        <v>180</v>
      </c>
      <c r="E21" s="2">
        <v>72</v>
      </c>
      <c r="F21" s="2">
        <v>72</v>
      </c>
      <c r="G21" s="2" t="s">
        <v>48</v>
      </c>
      <c r="H21" s="2" t="s">
        <v>49</v>
      </c>
      <c r="I21" s="2"/>
      <c r="J21" s="2" t="s">
        <v>195</v>
      </c>
      <c r="K21" s="2">
        <v>1</v>
      </c>
      <c r="L21" s="2">
        <v>0</v>
      </c>
    </row>
    <row r="22" spans="1:12" x14ac:dyDescent="0.3">
      <c r="A22" s="1" t="s">
        <v>51</v>
      </c>
      <c r="B22" s="1">
        <f t="shared" si="0"/>
        <v>21</v>
      </c>
      <c r="C22" s="2">
        <v>468</v>
      </c>
      <c r="D22" s="2">
        <v>180</v>
      </c>
      <c r="E22" s="2">
        <v>72</v>
      </c>
      <c r="F22" s="2">
        <v>72</v>
      </c>
      <c r="G22" s="2" t="s">
        <v>50</v>
      </c>
      <c r="H22" s="2" t="s">
        <v>51</v>
      </c>
      <c r="I22" s="2"/>
      <c r="J22" s="2"/>
      <c r="K22" s="2">
        <v>1</v>
      </c>
      <c r="L22" s="2">
        <v>0</v>
      </c>
    </row>
    <row r="23" spans="1:12" x14ac:dyDescent="0.3">
      <c r="A23" s="1" t="s">
        <v>53</v>
      </c>
      <c r="B23" s="1">
        <f t="shared" si="0"/>
        <v>22</v>
      </c>
      <c r="C23" s="2">
        <v>540</v>
      </c>
      <c r="D23" s="2">
        <v>180</v>
      </c>
      <c r="E23" s="2">
        <v>72</v>
      </c>
      <c r="F23" s="2">
        <v>72</v>
      </c>
      <c r="G23" s="2" t="s">
        <v>52</v>
      </c>
      <c r="H23" s="2" t="s">
        <v>53</v>
      </c>
      <c r="I23" s="2"/>
      <c r="J23" s="2"/>
      <c r="K23" s="2">
        <v>1</v>
      </c>
      <c r="L23" s="2">
        <v>0</v>
      </c>
    </row>
    <row r="24" spans="1:12" x14ac:dyDescent="0.3">
      <c r="A24" s="1" t="s">
        <v>184</v>
      </c>
      <c r="B24" s="1">
        <f t="shared" si="0"/>
        <v>23</v>
      </c>
      <c r="C24" s="2">
        <v>612</v>
      </c>
      <c r="D24" s="2">
        <v>180</v>
      </c>
      <c r="E24" s="2">
        <v>72</v>
      </c>
      <c r="F24" s="2">
        <v>72</v>
      </c>
      <c r="G24" s="2" t="s">
        <v>54</v>
      </c>
      <c r="H24" s="2" t="s">
        <v>184</v>
      </c>
      <c r="I24" s="2"/>
      <c r="J24" s="2" t="s">
        <v>55</v>
      </c>
      <c r="K24" s="2">
        <v>1</v>
      </c>
      <c r="L24" s="2">
        <v>0</v>
      </c>
    </row>
    <row r="25" spans="1:12" x14ac:dyDescent="0.3">
      <c r="A25" s="1" t="s">
        <v>57</v>
      </c>
      <c r="B25" s="1">
        <f t="shared" si="0"/>
        <v>24</v>
      </c>
      <c r="C25" s="2">
        <v>684</v>
      </c>
      <c r="D25" s="2">
        <v>180</v>
      </c>
      <c r="E25" s="2">
        <v>72</v>
      </c>
      <c r="F25" s="2">
        <v>72</v>
      </c>
      <c r="G25" s="2" t="s">
        <v>56</v>
      </c>
      <c r="H25" s="2" t="s">
        <v>57</v>
      </c>
      <c r="I25" s="2"/>
      <c r="J25" s="2"/>
      <c r="K25" s="2">
        <v>1</v>
      </c>
      <c r="L25" s="2">
        <v>0</v>
      </c>
    </row>
    <row r="26" spans="1:12" x14ac:dyDescent="0.3">
      <c r="A26" s="1" t="s">
        <v>59</v>
      </c>
      <c r="B26" s="1">
        <f t="shared" si="0"/>
        <v>25</v>
      </c>
      <c r="C26" s="2">
        <v>756</v>
      </c>
      <c r="D26" s="2">
        <v>180</v>
      </c>
      <c r="E26" s="2">
        <v>72</v>
      </c>
      <c r="F26" s="2">
        <v>72</v>
      </c>
      <c r="G26" s="2" t="s">
        <v>58</v>
      </c>
      <c r="H26" s="2" t="s">
        <v>59</v>
      </c>
      <c r="I26" s="2"/>
      <c r="J26" s="2"/>
      <c r="K26" s="2">
        <v>1</v>
      </c>
      <c r="L26" s="2">
        <v>0</v>
      </c>
    </row>
    <row r="27" spans="1:12" x14ac:dyDescent="0.3">
      <c r="A27" s="1" t="s">
        <v>165</v>
      </c>
      <c r="B27" s="1">
        <f t="shared" si="0"/>
        <v>26</v>
      </c>
      <c r="C27" s="2">
        <v>828</v>
      </c>
      <c r="D27" s="2">
        <v>180</v>
      </c>
      <c r="E27" s="2">
        <v>72</v>
      </c>
      <c r="F27" s="2">
        <v>72</v>
      </c>
      <c r="G27" s="2" t="s">
        <v>188</v>
      </c>
      <c r="H27" s="2" t="s">
        <v>165</v>
      </c>
      <c r="I27" s="2"/>
      <c r="J27" s="2" t="s">
        <v>196</v>
      </c>
      <c r="K27" s="2">
        <v>1</v>
      </c>
      <c r="L27" s="2">
        <v>0</v>
      </c>
    </row>
    <row r="28" spans="1:12" x14ac:dyDescent="0.3">
      <c r="A28" s="1" t="s">
        <v>61</v>
      </c>
      <c r="B28" s="1">
        <f t="shared" si="0"/>
        <v>27</v>
      </c>
      <c r="C28" s="2">
        <v>900</v>
      </c>
      <c r="D28" s="2">
        <v>180</v>
      </c>
      <c r="E28" s="2">
        <v>72</v>
      </c>
      <c r="F28" s="2">
        <v>72</v>
      </c>
      <c r="G28" s="2" t="s">
        <v>60</v>
      </c>
      <c r="H28" s="2" t="s">
        <v>61</v>
      </c>
      <c r="I28" s="2"/>
      <c r="J28" s="2" t="s">
        <v>64</v>
      </c>
      <c r="K28" s="2" t="s">
        <v>208</v>
      </c>
      <c r="L28" s="2">
        <v>0</v>
      </c>
    </row>
    <row r="29" spans="1:12" x14ac:dyDescent="0.3">
      <c r="A29" s="1" t="s">
        <v>246</v>
      </c>
      <c r="B29" s="1">
        <f t="shared" si="0"/>
        <v>28</v>
      </c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1" t="s">
        <v>166</v>
      </c>
      <c r="B30" s="1">
        <f t="shared" si="0"/>
        <v>29</v>
      </c>
      <c r="C30" s="2">
        <v>0</v>
      </c>
      <c r="D30" s="2">
        <v>252</v>
      </c>
      <c r="E30" s="2">
        <v>126</v>
      </c>
      <c r="F30" s="2">
        <v>72</v>
      </c>
      <c r="G30" s="2"/>
      <c r="H30" s="2" t="s">
        <v>166</v>
      </c>
      <c r="I30" s="2"/>
      <c r="J30" s="2"/>
      <c r="K30" s="2">
        <v>0</v>
      </c>
      <c r="L30" s="2">
        <v>0</v>
      </c>
    </row>
    <row r="31" spans="1:12" x14ac:dyDescent="0.3">
      <c r="A31" s="1" t="s">
        <v>67</v>
      </c>
      <c r="B31" s="1">
        <f t="shared" si="0"/>
        <v>30</v>
      </c>
      <c r="C31" s="2">
        <v>126</v>
      </c>
      <c r="D31" s="2">
        <v>252</v>
      </c>
      <c r="E31" s="2">
        <v>72</v>
      </c>
      <c r="F31" s="2">
        <v>72</v>
      </c>
      <c r="G31" s="2" t="s">
        <v>66</v>
      </c>
      <c r="H31" s="2" t="s">
        <v>67</v>
      </c>
      <c r="I31" s="2" t="s">
        <v>198</v>
      </c>
      <c r="J31" s="2" t="s">
        <v>197</v>
      </c>
      <c r="K31" s="2">
        <v>1</v>
      </c>
      <c r="L31" s="2">
        <v>0</v>
      </c>
    </row>
    <row r="32" spans="1:12" x14ac:dyDescent="0.3">
      <c r="A32" s="1" t="s">
        <v>69</v>
      </c>
      <c r="B32" s="1">
        <f t="shared" si="0"/>
        <v>31</v>
      </c>
      <c r="C32" s="2">
        <v>198</v>
      </c>
      <c r="D32" s="2">
        <v>252</v>
      </c>
      <c r="E32" s="2">
        <v>72</v>
      </c>
      <c r="F32" s="2">
        <v>72</v>
      </c>
      <c r="G32" s="2" t="s">
        <v>68</v>
      </c>
      <c r="H32" s="2" t="s">
        <v>69</v>
      </c>
      <c r="I32" s="2"/>
      <c r="J32" s="2" t="s">
        <v>32</v>
      </c>
      <c r="K32" s="2">
        <v>1</v>
      </c>
      <c r="L32" s="2">
        <v>0</v>
      </c>
    </row>
    <row r="33" spans="1:12" x14ac:dyDescent="0.3">
      <c r="A33" s="1" t="s">
        <v>71</v>
      </c>
      <c r="B33" s="1">
        <f t="shared" si="0"/>
        <v>32</v>
      </c>
      <c r="C33" s="2">
        <v>270</v>
      </c>
      <c r="D33" s="2">
        <v>252</v>
      </c>
      <c r="E33" s="2">
        <v>72</v>
      </c>
      <c r="F33" s="2">
        <v>72</v>
      </c>
      <c r="G33" s="2" t="s">
        <v>70</v>
      </c>
      <c r="H33" s="2" t="s">
        <v>71</v>
      </c>
      <c r="I33" s="2"/>
      <c r="J33" s="2"/>
      <c r="K33" s="2">
        <v>1</v>
      </c>
      <c r="L33" s="2">
        <v>0</v>
      </c>
    </row>
    <row r="34" spans="1:12" x14ac:dyDescent="0.3">
      <c r="A34" s="1" t="s">
        <v>73</v>
      </c>
      <c r="B34" s="1">
        <f t="shared" si="0"/>
        <v>33</v>
      </c>
      <c r="C34" s="2">
        <v>342</v>
      </c>
      <c r="D34" s="2">
        <v>252</v>
      </c>
      <c r="E34" s="2">
        <v>72</v>
      </c>
      <c r="F34" s="2">
        <v>72</v>
      </c>
      <c r="G34" s="2" t="s">
        <v>72</v>
      </c>
      <c r="H34" s="2" t="s">
        <v>73</v>
      </c>
      <c r="I34" s="2"/>
      <c r="J34" s="2"/>
      <c r="K34" s="2">
        <v>1</v>
      </c>
      <c r="L34" s="2">
        <v>0</v>
      </c>
    </row>
    <row r="35" spans="1:12" x14ac:dyDescent="0.3">
      <c r="A35" s="1" t="s">
        <v>75</v>
      </c>
      <c r="B35" s="1">
        <f t="shared" si="0"/>
        <v>34</v>
      </c>
      <c r="C35" s="2">
        <v>414</v>
      </c>
      <c r="D35" s="2">
        <v>252</v>
      </c>
      <c r="E35" s="2">
        <v>72</v>
      </c>
      <c r="F35" s="2">
        <v>72</v>
      </c>
      <c r="G35" s="2" t="s">
        <v>74</v>
      </c>
      <c r="H35" s="2" t="s">
        <v>75</v>
      </c>
      <c r="I35" s="2"/>
      <c r="J35" s="2"/>
      <c r="K35" s="2">
        <v>1</v>
      </c>
      <c r="L35" s="2">
        <v>0</v>
      </c>
    </row>
    <row r="36" spans="1:12" x14ac:dyDescent="0.3">
      <c r="A36" s="1" t="s">
        <v>77</v>
      </c>
      <c r="B36" s="1">
        <f t="shared" si="0"/>
        <v>35</v>
      </c>
      <c r="C36" s="2">
        <v>486</v>
      </c>
      <c r="D36" s="2">
        <v>252</v>
      </c>
      <c r="E36" s="2">
        <v>72</v>
      </c>
      <c r="F36" s="2">
        <v>72</v>
      </c>
      <c r="G36" s="2" t="s">
        <v>76</v>
      </c>
      <c r="H36" s="2" t="s">
        <v>77</v>
      </c>
      <c r="I36" s="2"/>
      <c r="J36" s="2"/>
      <c r="K36" s="2">
        <v>1</v>
      </c>
      <c r="L36" s="2">
        <v>0</v>
      </c>
    </row>
    <row r="37" spans="1:12" x14ac:dyDescent="0.3">
      <c r="A37" s="1" t="s">
        <v>79</v>
      </c>
      <c r="B37" s="1">
        <f t="shared" si="0"/>
        <v>36</v>
      </c>
      <c r="C37" s="2">
        <v>558</v>
      </c>
      <c r="D37" s="2">
        <v>252</v>
      </c>
      <c r="E37" s="2">
        <v>72</v>
      </c>
      <c r="F37" s="2">
        <v>72</v>
      </c>
      <c r="G37" s="2" t="s">
        <v>78</v>
      </c>
      <c r="H37" s="2" t="s">
        <v>79</v>
      </c>
      <c r="I37" s="2"/>
      <c r="J37" s="2"/>
      <c r="K37" s="2">
        <v>1</v>
      </c>
      <c r="L37" s="2">
        <v>0</v>
      </c>
    </row>
    <row r="38" spans="1:12" x14ac:dyDescent="0.3">
      <c r="A38" s="1" t="s">
        <v>81</v>
      </c>
      <c r="B38" s="1">
        <f t="shared" si="0"/>
        <v>37</v>
      </c>
      <c r="C38" s="2">
        <v>630</v>
      </c>
      <c r="D38" s="2">
        <v>252</v>
      </c>
      <c r="E38" s="2">
        <v>72</v>
      </c>
      <c r="F38" s="2">
        <v>72</v>
      </c>
      <c r="G38" s="2" t="s">
        <v>80</v>
      </c>
      <c r="H38" s="2" t="s">
        <v>81</v>
      </c>
      <c r="I38" s="2"/>
      <c r="J38" s="2"/>
      <c r="K38" s="2">
        <v>1</v>
      </c>
      <c r="L38" s="2">
        <v>0</v>
      </c>
    </row>
    <row r="39" spans="1:12" x14ac:dyDescent="0.3">
      <c r="A39" s="1" t="s">
        <v>83</v>
      </c>
      <c r="B39" s="1">
        <f t="shared" si="0"/>
        <v>38</v>
      </c>
      <c r="C39" s="2">
        <v>702</v>
      </c>
      <c r="D39" s="2">
        <v>252</v>
      </c>
      <c r="E39" s="2">
        <v>72</v>
      </c>
      <c r="F39" s="2">
        <v>72</v>
      </c>
      <c r="G39" s="2" t="s">
        <v>82</v>
      </c>
      <c r="H39" s="2" t="s">
        <v>83</v>
      </c>
      <c r="I39" s="2"/>
      <c r="J39" s="2"/>
      <c r="K39" s="2">
        <v>1</v>
      </c>
      <c r="L39" s="2">
        <v>0</v>
      </c>
    </row>
    <row r="40" spans="1:12" x14ac:dyDescent="0.3">
      <c r="A40" s="1" t="s">
        <v>183</v>
      </c>
      <c r="B40" s="1">
        <f t="shared" si="0"/>
        <v>39</v>
      </c>
      <c r="C40" s="2">
        <v>774</v>
      </c>
      <c r="D40" s="2">
        <v>252</v>
      </c>
      <c r="E40" s="2">
        <v>72</v>
      </c>
      <c r="F40" s="2">
        <v>72</v>
      </c>
      <c r="G40" s="2" t="s">
        <v>189</v>
      </c>
      <c r="H40" s="2" t="s">
        <v>183</v>
      </c>
      <c r="I40" s="3"/>
      <c r="J40" s="3" t="s">
        <v>35</v>
      </c>
      <c r="K40" s="2">
        <v>1</v>
      </c>
      <c r="L40" s="2">
        <v>0</v>
      </c>
    </row>
    <row r="41" spans="1:12" x14ac:dyDescent="0.3">
      <c r="A41" s="1" t="s">
        <v>55</v>
      </c>
      <c r="B41" s="1">
        <f t="shared" si="0"/>
        <v>40</v>
      </c>
      <c r="C41" s="2">
        <v>846</v>
      </c>
      <c r="D41" s="2">
        <v>252</v>
      </c>
      <c r="E41" s="2">
        <v>72</v>
      </c>
      <c r="F41" s="2">
        <v>72</v>
      </c>
      <c r="G41" s="2" t="s">
        <v>190</v>
      </c>
      <c r="H41" s="2" t="s">
        <v>55</v>
      </c>
      <c r="I41" s="2"/>
      <c r="J41" s="2"/>
      <c r="K41" s="2">
        <v>1</v>
      </c>
      <c r="L41" s="2">
        <v>0</v>
      </c>
    </row>
    <row r="42" spans="1:12" x14ac:dyDescent="0.3">
      <c r="A42" s="1" t="s">
        <v>110</v>
      </c>
      <c r="B42" s="1">
        <f t="shared" si="0"/>
        <v>41</v>
      </c>
      <c r="C42" s="2">
        <v>918</v>
      </c>
      <c r="D42" s="2">
        <v>252</v>
      </c>
      <c r="E42" s="2">
        <v>72</v>
      </c>
      <c r="F42" s="2">
        <v>72</v>
      </c>
      <c r="G42" s="2" t="s">
        <v>109</v>
      </c>
      <c r="H42" s="2" t="s">
        <v>110</v>
      </c>
      <c r="I42" s="2"/>
      <c r="J42" s="2" t="s">
        <v>34</v>
      </c>
      <c r="K42" s="2">
        <v>0</v>
      </c>
      <c r="L42" s="2">
        <v>0</v>
      </c>
    </row>
    <row r="43" spans="1:12" x14ac:dyDescent="0.3">
      <c r="A43" s="1" t="s">
        <v>167</v>
      </c>
      <c r="B43" s="1">
        <f t="shared" si="0"/>
        <v>42</v>
      </c>
      <c r="C43" s="2">
        <v>990</v>
      </c>
      <c r="D43" s="2">
        <v>180</v>
      </c>
      <c r="E43" s="2">
        <v>90</v>
      </c>
      <c r="F43" s="2">
        <v>144</v>
      </c>
      <c r="G43" s="2"/>
      <c r="H43" s="2" t="s">
        <v>167</v>
      </c>
      <c r="I43" s="2"/>
      <c r="J43" s="2"/>
      <c r="K43" s="2">
        <v>0</v>
      </c>
      <c r="L43" s="2">
        <v>0</v>
      </c>
    </row>
    <row r="44" spans="1:12" x14ac:dyDescent="0.3">
      <c r="A44" s="1" t="s">
        <v>168</v>
      </c>
      <c r="B44" s="1">
        <f t="shared" si="0"/>
        <v>43</v>
      </c>
      <c r="C44" s="2">
        <v>0</v>
      </c>
      <c r="D44" s="2">
        <v>324</v>
      </c>
      <c r="E44" s="2">
        <v>90</v>
      </c>
      <c r="F44" s="2">
        <v>72</v>
      </c>
      <c r="G44" s="2"/>
      <c r="H44" s="2" t="s">
        <v>168</v>
      </c>
      <c r="I44" s="2"/>
      <c r="J44" s="2"/>
      <c r="K44" s="2">
        <v>0</v>
      </c>
      <c r="L44" s="2">
        <v>0</v>
      </c>
    </row>
    <row r="45" spans="1:12" x14ac:dyDescent="0.3">
      <c r="A45" s="1" t="s">
        <v>92</v>
      </c>
      <c r="B45" s="1">
        <f t="shared" si="0"/>
        <v>44</v>
      </c>
      <c r="C45" s="2">
        <v>90</v>
      </c>
      <c r="D45" s="2">
        <v>324</v>
      </c>
      <c r="E45" s="2">
        <v>72</v>
      </c>
      <c r="F45" s="2">
        <v>72</v>
      </c>
      <c r="G45" s="2" t="s">
        <v>91</v>
      </c>
      <c r="H45" s="2" t="s">
        <v>92</v>
      </c>
      <c r="I45" s="2"/>
      <c r="J45" s="2" t="s">
        <v>93</v>
      </c>
      <c r="K45" s="2">
        <v>0</v>
      </c>
      <c r="L45" s="2">
        <v>0</v>
      </c>
    </row>
    <row r="46" spans="1:12" x14ac:dyDescent="0.3">
      <c r="A46" s="1" t="s">
        <v>51</v>
      </c>
      <c r="B46" s="1">
        <f t="shared" si="0"/>
        <v>45</v>
      </c>
      <c r="C46" s="2">
        <v>162</v>
      </c>
      <c r="D46" s="2">
        <v>324</v>
      </c>
      <c r="E46" s="2">
        <v>72</v>
      </c>
      <c r="F46" s="2">
        <v>72</v>
      </c>
      <c r="G46" s="2" t="s">
        <v>94</v>
      </c>
      <c r="H46" s="2" t="s">
        <v>51</v>
      </c>
      <c r="I46" s="2"/>
      <c r="J46" s="2"/>
      <c r="K46" s="2">
        <v>1</v>
      </c>
      <c r="L46" s="2">
        <v>0</v>
      </c>
    </row>
    <row r="47" spans="1:12" x14ac:dyDescent="0.3">
      <c r="A47" s="1" t="s">
        <v>97</v>
      </c>
      <c r="B47" s="1">
        <f t="shared" si="0"/>
        <v>46</v>
      </c>
      <c r="C47" s="2">
        <v>234</v>
      </c>
      <c r="D47" s="2">
        <v>324</v>
      </c>
      <c r="E47" s="2">
        <v>72</v>
      </c>
      <c r="F47" s="2">
        <v>72</v>
      </c>
      <c r="G47" s="2" t="s">
        <v>96</v>
      </c>
      <c r="H47" s="2" t="s">
        <v>97</v>
      </c>
      <c r="I47" s="2"/>
      <c r="J47" s="2"/>
      <c r="K47" s="2">
        <v>1</v>
      </c>
      <c r="L47" s="2">
        <v>0</v>
      </c>
    </row>
    <row r="48" spans="1:12" x14ac:dyDescent="0.3">
      <c r="A48" s="1" t="s">
        <v>99</v>
      </c>
      <c r="B48" s="1">
        <f t="shared" si="0"/>
        <v>47</v>
      </c>
      <c r="C48" s="2">
        <v>306</v>
      </c>
      <c r="D48" s="2">
        <v>324</v>
      </c>
      <c r="E48" s="2">
        <v>72</v>
      </c>
      <c r="F48" s="2">
        <v>72</v>
      </c>
      <c r="G48" s="2" t="s">
        <v>98</v>
      </c>
      <c r="H48" s="2" t="s">
        <v>99</v>
      </c>
      <c r="I48" s="2"/>
      <c r="J48" s="2"/>
      <c r="K48" s="2">
        <v>1</v>
      </c>
      <c r="L48" s="2">
        <v>0</v>
      </c>
    </row>
    <row r="49" spans="1:12" x14ac:dyDescent="0.3">
      <c r="A49" s="1" t="s">
        <v>101</v>
      </c>
      <c r="B49" s="1">
        <f t="shared" si="0"/>
        <v>48</v>
      </c>
      <c r="C49" s="2">
        <v>378</v>
      </c>
      <c r="D49" s="2">
        <v>324</v>
      </c>
      <c r="E49" s="2">
        <v>72</v>
      </c>
      <c r="F49" s="2">
        <v>72</v>
      </c>
      <c r="G49" s="2" t="s">
        <v>100</v>
      </c>
      <c r="H49" s="2" t="s">
        <v>101</v>
      </c>
      <c r="I49" s="2"/>
      <c r="J49" s="2"/>
      <c r="K49" s="2">
        <v>1</v>
      </c>
      <c r="L49" s="2">
        <v>0</v>
      </c>
    </row>
    <row r="50" spans="1:12" x14ac:dyDescent="0.3">
      <c r="A50" s="1" t="s">
        <v>103</v>
      </c>
      <c r="B50" s="1">
        <f t="shared" si="0"/>
        <v>49</v>
      </c>
      <c r="C50" s="2">
        <v>450</v>
      </c>
      <c r="D50" s="2">
        <v>324</v>
      </c>
      <c r="E50" s="2">
        <v>72</v>
      </c>
      <c r="F50" s="2">
        <v>72</v>
      </c>
      <c r="G50" s="2" t="s">
        <v>102</v>
      </c>
      <c r="H50" s="2" t="s">
        <v>103</v>
      </c>
      <c r="I50" s="2"/>
      <c r="J50" s="2"/>
      <c r="K50" s="2">
        <v>1</v>
      </c>
      <c r="L50" s="2">
        <v>0</v>
      </c>
    </row>
    <row r="51" spans="1:12" x14ac:dyDescent="0.3">
      <c r="A51" s="1" t="s">
        <v>105</v>
      </c>
      <c r="B51" s="1">
        <f t="shared" si="0"/>
        <v>50</v>
      </c>
      <c r="C51" s="2">
        <v>522</v>
      </c>
      <c r="D51" s="2">
        <v>324</v>
      </c>
      <c r="E51" s="2">
        <v>72</v>
      </c>
      <c r="F51" s="2">
        <v>72</v>
      </c>
      <c r="G51" s="2" t="s">
        <v>104</v>
      </c>
      <c r="H51" s="2" t="s">
        <v>105</v>
      </c>
      <c r="I51" s="2"/>
      <c r="J51" s="2"/>
      <c r="K51" s="2">
        <v>1</v>
      </c>
      <c r="L51" s="2">
        <v>0</v>
      </c>
    </row>
    <row r="52" spans="1:12" x14ac:dyDescent="0.3">
      <c r="A52" s="1" t="s">
        <v>107</v>
      </c>
      <c r="B52" s="1">
        <f t="shared" si="0"/>
        <v>51</v>
      </c>
      <c r="C52" s="2">
        <v>594</v>
      </c>
      <c r="D52" s="2">
        <v>324</v>
      </c>
      <c r="E52" s="2">
        <v>72</v>
      </c>
      <c r="F52" s="2">
        <v>72</v>
      </c>
      <c r="G52" s="2" t="s">
        <v>106</v>
      </c>
      <c r="H52" s="2" t="s">
        <v>107</v>
      </c>
      <c r="I52" s="2"/>
      <c r="J52" s="2"/>
      <c r="K52" s="2">
        <v>1</v>
      </c>
      <c r="L52" s="2">
        <v>0</v>
      </c>
    </row>
    <row r="53" spans="1:12" x14ac:dyDescent="0.3">
      <c r="A53" s="1" t="s">
        <v>85</v>
      </c>
      <c r="B53" s="1">
        <f t="shared" si="0"/>
        <v>52</v>
      </c>
      <c r="C53" s="2">
        <v>666</v>
      </c>
      <c r="D53" s="2">
        <v>324</v>
      </c>
      <c r="E53" s="2">
        <v>72</v>
      </c>
      <c r="F53" s="2">
        <v>72</v>
      </c>
      <c r="G53" s="2" t="s">
        <v>84</v>
      </c>
      <c r="H53" s="2" t="s">
        <v>85</v>
      </c>
      <c r="I53" s="2"/>
      <c r="J53" s="2"/>
      <c r="K53" s="2" t="s">
        <v>208</v>
      </c>
      <c r="L53" s="2">
        <v>0</v>
      </c>
    </row>
    <row r="54" spans="1:12" x14ac:dyDescent="0.3">
      <c r="A54" s="1" t="s">
        <v>185</v>
      </c>
      <c r="B54" s="1">
        <f t="shared" si="0"/>
        <v>53</v>
      </c>
      <c r="C54" s="2">
        <v>738</v>
      </c>
      <c r="D54" s="2">
        <v>324</v>
      </c>
      <c r="E54" s="2">
        <v>72</v>
      </c>
      <c r="F54" s="2">
        <v>72</v>
      </c>
      <c r="G54" s="2" t="s">
        <v>191</v>
      </c>
      <c r="H54" s="2" t="s">
        <v>185</v>
      </c>
      <c r="I54" s="2"/>
      <c r="J54" s="2"/>
      <c r="K54" s="2" t="s">
        <v>208</v>
      </c>
      <c r="L54" s="2">
        <v>0</v>
      </c>
    </row>
    <row r="55" spans="1:12" x14ac:dyDescent="0.3">
      <c r="A55" s="1" t="s">
        <v>112</v>
      </c>
      <c r="B55" s="1">
        <f t="shared" si="0"/>
        <v>54</v>
      </c>
      <c r="C55" s="2">
        <v>810</v>
      </c>
      <c r="D55" s="2">
        <v>324</v>
      </c>
      <c r="E55" s="2">
        <v>72</v>
      </c>
      <c r="F55" s="2">
        <v>72</v>
      </c>
      <c r="G55" s="2" t="s">
        <v>111</v>
      </c>
      <c r="H55" s="2" t="s">
        <v>112</v>
      </c>
      <c r="I55" s="2"/>
      <c r="J55" s="2"/>
      <c r="K55" s="2">
        <v>0</v>
      </c>
      <c r="L55" s="2">
        <v>0</v>
      </c>
    </row>
    <row r="56" spans="1:12" x14ac:dyDescent="0.3">
      <c r="A56" s="1" t="s">
        <v>169</v>
      </c>
      <c r="B56" s="1">
        <f t="shared" si="0"/>
        <v>55</v>
      </c>
      <c r="C56" s="2">
        <v>882</v>
      </c>
      <c r="D56" s="2">
        <v>324</v>
      </c>
      <c r="E56" s="2">
        <v>198</v>
      </c>
      <c r="F56" s="2">
        <v>72</v>
      </c>
      <c r="G56" s="2"/>
      <c r="H56" s="2" t="s">
        <v>169</v>
      </c>
      <c r="I56" s="2"/>
      <c r="J56" s="2"/>
      <c r="K56" s="2">
        <v>0</v>
      </c>
      <c r="L56" s="2">
        <v>0</v>
      </c>
    </row>
    <row r="57" spans="1:12" x14ac:dyDescent="0.3">
      <c r="A57" s="1" t="s">
        <v>170</v>
      </c>
      <c r="B57" s="1">
        <f t="shared" si="0"/>
        <v>56</v>
      </c>
      <c r="C57" s="2">
        <v>0</v>
      </c>
      <c r="D57" s="2">
        <v>396</v>
      </c>
      <c r="E57" s="2">
        <v>90</v>
      </c>
      <c r="F57" s="2">
        <v>72</v>
      </c>
      <c r="G57" s="2"/>
      <c r="H57" s="2" t="s">
        <v>170</v>
      </c>
      <c r="I57" s="2"/>
      <c r="J57" s="2"/>
      <c r="K57" s="2">
        <v>0</v>
      </c>
      <c r="L57" s="2">
        <v>0</v>
      </c>
    </row>
    <row r="58" spans="1:12" x14ac:dyDescent="0.3">
      <c r="A58" s="1" t="s">
        <v>117</v>
      </c>
      <c r="B58" s="1">
        <f t="shared" si="0"/>
        <v>57</v>
      </c>
      <c r="C58" s="2">
        <v>180</v>
      </c>
      <c r="D58" s="2">
        <v>396</v>
      </c>
      <c r="E58" s="2">
        <v>90</v>
      </c>
      <c r="F58" s="2">
        <v>72</v>
      </c>
      <c r="G58" s="2"/>
      <c r="H58" s="2" t="s">
        <v>117</v>
      </c>
      <c r="I58" s="2"/>
      <c r="J58" s="2"/>
      <c r="K58" s="2">
        <v>0</v>
      </c>
      <c r="L58" s="2">
        <v>0</v>
      </c>
    </row>
    <row r="59" spans="1:12" x14ac:dyDescent="0.3">
      <c r="A59" s="1" t="s">
        <v>186</v>
      </c>
      <c r="B59" s="1">
        <f t="shared" si="0"/>
        <v>58</v>
      </c>
      <c r="C59" s="2">
        <v>270</v>
      </c>
      <c r="D59" s="2">
        <v>396</v>
      </c>
      <c r="E59" s="2">
        <v>450</v>
      </c>
      <c r="F59" s="2">
        <v>72</v>
      </c>
      <c r="G59" s="2"/>
      <c r="H59" s="2" t="s">
        <v>186</v>
      </c>
      <c r="I59" s="2"/>
      <c r="J59" s="2"/>
      <c r="K59" s="2">
        <v>0</v>
      </c>
      <c r="L59" s="2">
        <v>0</v>
      </c>
    </row>
    <row r="60" spans="1:12" x14ac:dyDescent="0.3">
      <c r="A60" s="1" t="s">
        <v>119</v>
      </c>
      <c r="B60" s="1">
        <f t="shared" si="0"/>
        <v>59</v>
      </c>
      <c r="C60" s="2">
        <v>720</v>
      </c>
      <c r="D60" s="2">
        <v>396</v>
      </c>
      <c r="E60" s="2">
        <v>90</v>
      </c>
      <c r="F60" s="2">
        <v>72</v>
      </c>
      <c r="G60" s="2"/>
      <c r="H60" s="2" t="s">
        <v>119</v>
      </c>
      <c r="I60" s="2"/>
      <c r="J60" s="2"/>
      <c r="K60" s="2">
        <v>0</v>
      </c>
      <c r="L60" s="2">
        <v>0</v>
      </c>
    </row>
    <row r="61" spans="1:12" x14ac:dyDescent="0.3">
      <c r="A61" s="1" t="s">
        <v>171</v>
      </c>
      <c r="B61" s="1">
        <f t="shared" si="0"/>
        <v>60</v>
      </c>
      <c r="C61" s="2">
        <v>990</v>
      </c>
      <c r="D61" s="2">
        <v>396</v>
      </c>
      <c r="E61" s="2">
        <v>90</v>
      </c>
      <c r="F61" s="2">
        <v>72</v>
      </c>
      <c r="G61" s="2"/>
      <c r="H61" s="2" t="s">
        <v>171</v>
      </c>
      <c r="I61" s="2"/>
      <c r="J61" s="2"/>
      <c r="K61" s="2">
        <v>0</v>
      </c>
      <c r="L61" s="2">
        <v>0</v>
      </c>
    </row>
    <row r="62" spans="1:12" x14ac:dyDescent="0.3">
      <c r="A62" s="1" t="s">
        <v>172</v>
      </c>
      <c r="B62" s="1">
        <f t="shared" si="0"/>
        <v>61</v>
      </c>
      <c r="C62" s="2">
        <v>1116</v>
      </c>
      <c r="D62" s="2">
        <v>108</v>
      </c>
      <c r="E62" s="2">
        <v>72</v>
      </c>
      <c r="F62" s="2">
        <v>72</v>
      </c>
      <c r="G62" s="2"/>
      <c r="H62" s="2" t="s">
        <v>172</v>
      </c>
      <c r="I62" s="2"/>
      <c r="J62" s="2"/>
      <c r="K62" s="2">
        <v>0</v>
      </c>
      <c r="L62" s="2">
        <v>0</v>
      </c>
    </row>
    <row r="63" spans="1:12" x14ac:dyDescent="0.3">
      <c r="A63" s="1" t="s">
        <v>173</v>
      </c>
      <c r="B63" s="1">
        <f t="shared" si="0"/>
        <v>62</v>
      </c>
      <c r="C63" s="2">
        <v>1116</v>
      </c>
      <c r="D63" s="2">
        <v>180</v>
      </c>
      <c r="E63" s="2">
        <v>72</v>
      </c>
      <c r="F63" s="2">
        <v>72</v>
      </c>
      <c r="G63" s="2"/>
      <c r="H63" s="2" t="s">
        <v>173</v>
      </c>
      <c r="I63" s="2"/>
      <c r="J63" s="2"/>
      <c r="K63" s="2">
        <v>0</v>
      </c>
      <c r="L63" s="2">
        <v>0</v>
      </c>
    </row>
    <row r="64" spans="1:12" x14ac:dyDescent="0.3">
      <c r="A64" s="1" t="s">
        <v>174</v>
      </c>
      <c r="B64" s="1">
        <f t="shared" si="0"/>
        <v>63</v>
      </c>
      <c r="C64" s="2">
        <v>1116</v>
      </c>
      <c r="D64" s="2">
        <v>396</v>
      </c>
      <c r="E64" s="2">
        <v>72</v>
      </c>
      <c r="F64" s="2">
        <v>72</v>
      </c>
      <c r="G64" s="2"/>
      <c r="H64" s="2" t="s">
        <v>174</v>
      </c>
      <c r="I64" s="2"/>
      <c r="J64" s="2"/>
      <c r="K64" s="2">
        <v>0</v>
      </c>
      <c r="L64" s="2">
        <v>0</v>
      </c>
    </row>
    <row r="65" spans="1:12" x14ac:dyDescent="0.3">
      <c r="A65" s="1" t="s">
        <v>175</v>
      </c>
      <c r="B65" s="1">
        <f t="shared" si="0"/>
        <v>64</v>
      </c>
      <c r="C65" s="2">
        <v>1188</v>
      </c>
      <c r="D65" s="2">
        <v>108</v>
      </c>
      <c r="E65" s="2">
        <v>72</v>
      </c>
      <c r="F65" s="2">
        <v>72</v>
      </c>
      <c r="G65" s="2"/>
      <c r="H65" s="2" t="s">
        <v>175</v>
      </c>
      <c r="I65" s="2"/>
      <c r="J65" s="2"/>
      <c r="K65" s="2">
        <v>0</v>
      </c>
      <c r="L65" s="2">
        <v>0</v>
      </c>
    </row>
    <row r="66" spans="1:12" x14ac:dyDescent="0.3">
      <c r="A66" s="1" t="s">
        <v>181</v>
      </c>
      <c r="B66" s="1">
        <f t="shared" ref="B66:B119" si="1">ROW(B66)-1</f>
        <v>65</v>
      </c>
      <c r="C66" s="2">
        <v>1188</v>
      </c>
      <c r="D66" s="2">
        <v>180</v>
      </c>
      <c r="E66" s="2">
        <v>72</v>
      </c>
      <c r="F66" s="2">
        <v>72</v>
      </c>
      <c r="G66" s="2"/>
      <c r="H66" s="2" t="s">
        <v>181</v>
      </c>
      <c r="I66" s="2"/>
      <c r="J66" s="2"/>
      <c r="K66" s="2">
        <v>0</v>
      </c>
      <c r="L66" s="2">
        <v>0</v>
      </c>
    </row>
    <row r="67" spans="1:12" x14ac:dyDescent="0.3">
      <c r="A67" s="1" t="s">
        <v>176</v>
      </c>
      <c r="B67" s="1">
        <f t="shared" si="1"/>
        <v>66</v>
      </c>
      <c r="C67" s="2">
        <v>1188</v>
      </c>
      <c r="D67" s="2">
        <v>324</v>
      </c>
      <c r="E67" s="2">
        <v>72</v>
      </c>
      <c r="F67" s="2">
        <v>72</v>
      </c>
      <c r="G67" s="2"/>
      <c r="H67" s="2" t="s">
        <v>176</v>
      </c>
      <c r="I67" s="2"/>
      <c r="J67" s="2"/>
      <c r="K67" s="2">
        <v>0</v>
      </c>
      <c r="L67" s="2">
        <v>0</v>
      </c>
    </row>
    <row r="68" spans="1:12" x14ac:dyDescent="0.3">
      <c r="A68" s="1" t="s">
        <v>177</v>
      </c>
      <c r="B68" s="1">
        <f t="shared" si="1"/>
        <v>67</v>
      </c>
      <c r="C68" s="2">
        <v>1188</v>
      </c>
      <c r="D68" s="2">
        <v>396</v>
      </c>
      <c r="E68" s="2">
        <v>72</v>
      </c>
      <c r="F68" s="2">
        <v>72</v>
      </c>
      <c r="G68" s="2"/>
      <c r="H68" s="2" t="s">
        <v>177</v>
      </c>
      <c r="I68" s="2"/>
      <c r="J68" s="2"/>
      <c r="K68" s="2">
        <v>0</v>
      </c>
      <c r="L68" s="2">
        <v>0</v>
      </c>
    </row>
    <row r="69" spans="1:12" x14ac:dyDescent="0.3">
      <c r="A69" s="1" t="s">
        <v>178</v>
      </c>
      <c r="B69" s="1">
        <f t="shared" si="1"/>
        <v>68</v>
      </c>
      <c r="C69" s="2">
        <v>1260</v>
      </c>
      <c r="D69" s="2">
        <v>108</v>
      </c>
      <c r="E69" s="2">
        <v>72</v>
      </c>
      <c r="F69" s="2">
        <v>72</v>
      </c>
      <c r="G69" s="2"/>
      <c r="H69" s="2" t="s">
        <v>178</v>
      </c>
      <c r="I69" s="2"/>
      <c r="J69" s="2"/>
      <c r="K69" s="2">
        <v>0</v>
      </c>
      <c r="L69" s="2">
        <v>0</v>
      </c>
    </row>
    <row r="70" spans="1:12" x14ac:dyDescent="0.3">
      <c r="A70" s="1" t="s">
        <v>182</v>
      </c>
      <c r="B70" s="1">
        <f t="shared" si="1"/>
        <v>69</v>
      </c>
      <c r="C70" s="2">
        <v>1260</v>
      </c>
      <c r="D70" s="2">
        <v>180</v>
      </c>
      <c r="E70" s="2">
        <v>72</v>
      </c>
      <c r="F70" s="2">
        <v>72</v>
      </c>
      <c r="G70" s="2"/>
      <c r="H70" s="2" t="s">
        <v>182</v>
      </c>
      <c r="I70" s="2"/>
      <c r="J70" s="2"/>
      <c r="K70" s="2">
        <v>0</v>
      </c>
      <c r="L70" s="2">
        <v>0</v>
      </c>
    </row>
    <row r="71" spans="1:12" x14ac:dyDescent="0.3">
      <c r="A71" s="1" t="s">
        <v>179</v>
      </c>
      <c r="B71" s="1">
        <f t="shared" si="1"/>
        <v>70</v>
      </c>
      <c r="C71" s="2">
        <v>1260</v>
      </c>
      <c r="D71" s="2">
        <v>396</v>
      </c>
      <c r="E71" s="2">
        <v>72</v>
      </c>
      <c r="F71" s="2">
        <v>72</v>
      </c>
      <c r="G71" s="2"/>
      <c r="H71" s="2" t="s">
        <v>179</v>
      </c>
      <c r="I71" s="2"/>
      <c r="J71" s="2"/>
      <c r="K71" s="2">
        <v>0</v>
      </c>
      <c r="L71" s="2">
        <v>0</v>
      </c>
    </row>
    <row r="72" spans="1:12" x14ac:dyDescent="0.3">
      <c r="A72" s="1" t="s">
        <v>180</v>
      </c>
      <c r="B72" s="1">
        <f t="shared" si="1"/>
        <v>71</v>
      </c>
      <c r="C72" s="2">
        <v>1368</v>
      </c>
      <c r="D72" s="2">
        <v>108</v>
      </c>
      <c r="E72" s="2">
        <v>72</v>
      </c>
      <c r="F72" s="2">
        <v>72</v>
      </c>
      <c r="G72" s="2"/>
      <c r="H72" s="2" t="s">
        <v>180</v>
      </c>
      <c r="I72" s="2"/>
      <c r="J72" s="2"/>
      <c r="K72" s="2">
        <v>0</v>
      </c>
      <c r="L72" s="2">
        <v>1</v>
      </c>
    </row>
    <row r="73" spans="1:12" x14ac:dyDescent="0.3">
      <c r="A73" s="1" t="s">
        <v>175</v>
      </c>
      <c r="B73" s="1">
        <f t="shared" si="1"/>
        <v>72</v>
      </c>
      <c r="C73" s="2">
        <v>1368</v>
      </c>
      <c r="D73" s="2">
        <v>180</v>
      </c>
      <c r="E73" s="2">
        <v>72</v>
      </c>
      <c r="F73" s="2">
        <v>72</v>
      </c>
      <c r="G73" s="2">
        <v>7</v>
      </c>
      <c r="H73" s="2" t="s">
        <v>175</v>
      </c>
      <c r="I73" s="2"/>
      <c r="J73" s="2"/>
      <c r="K73" s="2">
        <v>0</v>
      </c>
      <c r="L73" s="2">
        <v>1</v>
      </c>
    </row>
    <row r="74" spans="1:12" x14ac:dyDescent="0.3">
      <c r="A74" s="1" t="s">
        <v>174</v>
      </c>
      <c r="B74" s="1">
        <f t="shared" si="1"/>
        <v>73</v>
      </c>
      <c r="C74" s="2">
        <v>1368</v>
      </c>
      <c r="D74" s="2">
        <v>252</v>
      </c>
      <c r="E74" s="2">
        <v>72</v>
      </c>
      <c r="F74" s="2">
        <v>72</v>
      </c>
      <c r="G74" s="2">
        <v>4</v>
      </c>
      <c r="H74" s="2" t="s">
        <v>174</v>
      </c>
      <c r="I74" s="2"/>
      <c r="J74" s="2"/>
      <c r="K74" s="2">
        <v>0</v>
      </c>
      <c r="L74" s="2">
        <v>1</v>
      </c>
    </row>
    <row r="75" spans="1:12" x14ac:dyDescent="0.3">
      <c r="A75" s="1" t="s">
        <v>181</v>
      </c>
      <c r="B75" s="1">
        <f t="shared" si="1"/>
        <v>74</v>
      </c>
      <c r="C75" s="2">
        <v>1368</v>
      </c>
      <c r="D75" s="2">
        <v>324</v>
      </c>
      <c r="E75" s="2">
        <v>72</v>
      </c>
      <c r="F75" s="2">
        <v>72</v>
      </c>
      <c r="G75" s="2">
        <v>1</v>
      </c>
      <c r="H75" s="2" t="s">
        <v>181</v>
      </c>
      <c r="I75" s="2"/>
      <c r="J75" s="2"/>
      <c r="K75" s="2">
        <v>0</v>
      </c>
      <c r="L75" s="2">
        <v>1</v>
      </c>
    </row>
    <row r="76" spans="1:12" x14ac:dyDescent="0.3">
      <c r="A76" s="1" t="s">
        <v>23</v>
      </c>
      <c r="B76" s="1">
        <f t="shared" si="1"/>
        <v>75</v>
      </c>
      <c r="C76" s="2">
        <v>1440</v>
      </c>
      <c r="D76" s="2">
        <v>108</v>
      </c>
      <c r="E76" s="2">
        <v>72</v>
      </c>
      <c r="F76" s="2">
        <v>72</v>
      </c>
      <c r="G76" s="2"/>
      <c r="H76" s="2" t="s">
        <v>23</v>
      </c>
      <c r="I76" s="2"/>
      <c r="J76" s="2"/>
      <c r="K76" s="2">
        <v>0</v>
      </c>
      <c r="L76" s="2">
        <v>1</v>
      </c>
    </row>
    <row r="77" spans="1:12" x14ac:dyDescent="0.3">
      <c r="A77" s="1" t="s">
        <v>176</v>
      </c>
      <c r="B77" s="1">
        <f t="shared" si="1"/>
        <v>76</v>
      </c>
      <c r="C77" s="2">
        <v>1440</v>
      </c>
      <c r="D77" s="2">
        <v>180</v>
      </c>
      <c r="E77" s="2">
        <v>72</v>
      </c>
      <c r="F77" s="2">
        <v>72</v>
      </c>
      <c r="G77" s="2">
        <v>8</v>
      </c>
      <c r="H77" s="2" t="s">
        <v>176</v>
      </c>
      <c r="I77" s="2"/>
      <c r="J77" s="2"/>
      <c r="K77" s="2">
        <v>0</v>
      </c>
      <c r="L77" s="2">
        <v>1</v>
      </c>
    </row>
    <row r="78" spans="1:12" x14ac:dyDescent="0.3">
      <c r="A78" s="1" t="s">
        <v>156</v>
      </c>
      <c r="B78" s="1">
        <f t="shared" si="1"/>
        <v>77</v>
      </c>
      <c r="C78" s="2">
        <v>1440</v>
      </c>
      <c r="D78" s="2">
        <v>252</v>
      </c>
      <c r="E78" s="2">
        <v>72</v>
      </c>
      <c r="F78" s="2">
        <v>72</v>
      </c>
      <c r="G78" s="2">
        <v>5</v>
      </c>
      <c r="H78" s="2" t="s">
        <v>156</v>
      </c>
      <c r="I78" s="2"/>
      <c r="J78" s="2"/>
      <c r="K78" s="2">
        <v>0</v>
      </c>
      <c r="L78" s="2">
        <v>1</v>
      </c>
    </row>
    <row r="79" spans="1:12" x14ac:dyDescent="0.3">
      <c r="A79" s="1" t="s">
        <v>177</v>
      </c>
      <c r="B79" s="1">
        <f t="shared" si="1"/>
        <v>78</v>
      </c>
      <c r="C79" s="2">
        <v>1440</v>
      </c>
      <c r="D79" s="2">
        <v>324</v>
      </c>
      <c r="E79" s="2">
        <v>72</v>
      </c>
      <c r="F79" s="2">
        <v>72</v>
      </c>
      <c r="G79" s="2">
        <v>2</v>
      </c>
      <c r="H79" s="2" t="s">
        <v>177</v>
      </c>
      <c r="I79" s="2"/>
      <c r="J79" s="2"/>
      <c r="K79" s="2">
        <v>0</v>
      </c>
      <c r="L79" s="2">
        <v>1</v>
      </c>
    </row>
    <row r="80" spans="1:12" x14ac:dyDescent="0.3">
      <c r="A80" s="1" t="s">
        <v>172</v>
      </c>
      <c r="B80" s="1">
        <f t="shared" si="1"/>
        <v>79</v>
      </c>
      <c r="C80" s="2">
        <v>1368</v>
      </c>
      <c r="D80" s="2">
        <v>396</v>
      </c>
      <c r="E80" s="2">
        <v>144</v>
      </c>
      <c r="F80" s="2">
        <v>72</v>
      </c>
      <c r="G80" s="2">
        <v>0</v>
      </c>
      <c r="H80" s="2" t="s">
        <v>172</v>
      </c>
      <c r="I80" s="2"/>
      <c r="J80" s="2"/>
      <c r="K80" s="2">
        <v>0</v>
      </c>
      <c r="L80" s="2">
        <v>1</v>
      </c>
    </row>
    <row r="81" spans="1:12" x14ac:dyDescent="0.3">
      <c r="A81" s="1" t="s">
        <v>62</v>
      </c>
      <c r="B81" s="1">
        <f t="shared" si="1"/>
        <v>80</v>
      </c>
      <c r="C81" s="2">
        <v>1512</v>
      </c>
      <c r="D81" s="2">
        <v>108</v>
      </c>
      <c r="E81" s="2">
        <v>72</v>
      </c>
      <c r="F81" s="2">
        <v>72</v>
      </c>
      <c r="G81" s="2"/>
      <c r="H81" s="2" t="s">
        <v>62</v>
      </c>
      <c r="I81" s="2"/>
      <c r="J81" s="2"/>
      <c r="K81" s="2">
        <v>0</v>
      </c>
      <c r="L81" s="2">
        <v>1</v>
      </c>
    </row>
    <row r="82" spans="1:12" x14ac:dyDescent="0.3">
      <c r="A82" s="1" t="s">
        <v>178</v>
      </c>
      <c r="B82" s="1">
        <f t="shared" si="1"/>
        <v>81</v>
      </c>
      <c r="C82" s="2">
        <v>1512</v>
      </c>
      <c r="D82" s="2">
        <v>180</v>
      </c>
      <c r="E82" s="2">
        <v>72</v>
      </c>
      <c r="F82" s="2">
        <v>72</v>
      </c>
      <c r="G82" s="2">
        <v>9</v>
      </c>
      <c r="H82" s="2" t="s">
        <v>178</v>
      </c>
      <c r="I82" s="2"/>
      <c r="J82" s="2"/>
      <c r="K82" s="2">
        <v>0</v>
      </c>
      <c r="L82" s="2">
        <v>1</v>
      </c>
    </row>
    <row r="83" spans="1:12" x14ac:dyDescent="0.3">
      <c r="A83" s="1" t="s">
        <v>179</v>
      </c>
      <c r="B83" s="1">
        <f t="shared" si="1"/>
        <v>82</v>
      </c>
      <c r="C83" s="2">
        <v>1512</v>
      </c>
      <c r="D83" s="2">
        <v>252</v>
      </c>
      <c r="E83" s="2">
        <v>72</v>
      </c>
      <c r="F83" s="2">
        <v>72</v>
      </c>
      <c r="G83" s="2">
        <v>6</v>
      </c>
      <c r="H83" s="2" t="s">
        <v>179</v>
      </c>
      <c r="I83" s="2"/>
      <c r="J83" s="2"/>
      <c r="K83" s="2">
        <v>0</v>
      </c>
      <c r="L83" s="2">
        <v>1</v>
      </c>
    </row>
    <row r="84" spans="1:12" x14ac:dyDescent="0.3">
      <c r="A84" s="1" t="s">
        <v>182</v>
      </c>
      <c r="B84" s="1">
        <f t="shared" si="1"/>
        <v>83</v>
      </c>
      <c r="C84" s="2">
        <v>1512</v>
      </c>
      <c r="D84" s="2">
        <v>324</v>
      </c>
      <c r="E84" s="2">
        <v>72</v>
      </c>
      <c r="F84" s="2">
        <v>72</v>
      </c>
      <c r="G84" s="2">
        <v>3</v>
      </c>
      <c r="H84" s="2" t="s">
        <v>182</v>
      </c>
      <c r="I84" s="2"/>
      <c r="J84" s="2"/>
      <c r="K84" s="2">
        <v>0</v>
      </c>
      <c r="L84" s="2">
        <v>1</v>
      </c>
    </row>
    <row r="85" spans="1:12" x14ac:dyDescent="0.3">
      <c r="A85" s="1" t="s">
        <v>173</v>
      </c>
      <c r="B85" s="1">
        <f t="shared" si="1"/>
        <v>84</v>
      </c>
      <c r="C85" s="2">
        <v>1512</v>
      </c>
      <c r="D85" s="2">
        <v>396</v>
      </c>
      <c r="E85" s="2">
        <v>72</v>
      </c>
      <c r="F85" s="2">
        <v>72</v>
      </c>
      <c r="G85" s="2" t="s">
        <v>110</v>
      </c>
      <c r="H85" s="2" t="s">
        <v>173</v>
      </c>
      <c r="I85" s="2"/>
      <c r="J85" s="2"/>
      <c r="K85" s="2">
        <v>0</v>
      </c>
      <c r="L85" s="2">
        <v>1</v>
      </c>
    </row>
    <row r="86" spans="1:12" x14ac:dyDescent="0.3">
      <c r="A86" s="1" t="s">
        <v>114</v>
      </c>
      <c r="B86" s="1">
        <f t="shared" si="1"/>
        <v>85</v>
      </c>
      <c r="C86" s="2">
        <v>1584</v>
      </c>
      <c r="D86" s="2">
        <v>108</v>
      </c>
      <c r="E86" s="2">
        <v>72</v>
      </c>
      <c r="F86" s="2">
        <v>72</v>
      </c>
      <c r="G86" s="2"/>
      <c r="H86" s="2" t="s">
        <v>114</v>
      </c>
      <c r="I86" s="2"/>
      <c r="J86" s="2"/>
      <c r="K86" s="2">
        <v>0</v>
      </c>
      <c r="L86" s="2">
        <v>1</v>
      </c>
    </row>
    <row r="87" spans="1:12" x14ac:dyDescent="0.3">
      <c r="A87" s="1" t="s">
        <v>63</v>
      </c>
      <c r="B87" s="1">
        <f t="shared" si="1"/>
        <v>86</v>
      </c>
      <c r="C87" s="2">
        <v>1584</v>
      </c>
      <c r="D87" s="2">
        <v>180</v>
      </c>
      <c r="E87" s="2">
        <v>72</v>
      </c>
      <c r="F87" s="2">
        <v>144</v>
      </c>
      <c r="G87" s="2"/>
      <c r="H87" s="2" t="s">
        <v>63</v>
      </c>
      <c r="I87" s="2"/>
      <c r="J87" s="2"/>
      <c r="K87" s="2">
        <v>0</v>
      </c>
      <c r="L87" s="2">
        <v>1</v>
      </c>
    </row>
    <row r="88" spans="1:12" x14ac:dyDescent="0.3">
      <c r="A88" s="1" t="s">
        <v>167</v>
      </c>
      <c r="B88" s="1">
        <f t="shared" si="1"/>
        <v>87</v>
      </c>
      <c r="C88" s="2">
        <v>1584</v>
      </c>
      <c r="D88" s="2">
        <v>324</v>
      </c>
      <c r="E88" s="2">
        <v>72</v>
      </c>
      <c r="F88" s="2">
        <v>144</v>
      </c>
      <c r="G88" s="2"/>
      <c r="H88" s="2" t="s">
        <v>167</v>
      </c>
      <c r="I88" s="2"/>
      <c r="J88" s="2"/>
      <c r="K88" s="2">
        <v>0</v>
      </c>
      <c r="L88" s="2">
        <v>1</v>
      </c>
    </row>
    <row r="89" spans="1:12" x14ac:dyDescent="0.3">
      <c r="A89" s="1" t="s">
        <v>134</v>
      </c>
      <c r="B89" s="1">
        <f t="shared" si="1"/>
        <v>88</v>
      </c>
      <c r="C89" s="2">
        <v>0</v>
      </c>
      <c r="D89" s="2">
        <v>0</v>
      </c>
      <c r="E89" s="2">
        <v>72</v>
      </c>
      <c r="F89" s="2">
        <v>72</v>
      </c>
      <c r="G89" s="2"/>
      <c r="H89" s="2" t="s">
        <v>134</v>
      </c>
      <c r="I89" s="2"/>
      <c r="J89" s="2"/>
      <c r="K89" s="2">
        <v>0</v>
      </c>
      <c r="L89" s="2">
        <v>0</v>
      </c>
    </row>
    <row r="90" spans="1:12" x14ac:dyDescent="0.3">
      <c r="A90" s="1" t="s">
        <v>135</v>
      </c>
      <c r="B90" s="1">
        <f t="shared" si="1"/>
        <v>89</v>
      </c>
      <c r="C90" s="2">
        <v>144</v>
      </c>
      <c r="D90" s="2">
        <v>0</v>
      </c>
      <c r="E90" s="2">
        <v>72</v>
      </c>
      <c r="F90" s="2">
        <v>72</v>
      </c>
      <c r="G90" s="2"/>
      <c r="H90" s="2" t="s">
        <v>135</v>
      </c>
      <c r="I90" s="2"/>
      <c r="J90" s="2"/>
      <c r="K90" s="2">
        <v>0</v>
      </c>
      <c r="L90" s="2">
        <v>0</v>
      </c>
    </row>
    <row r="91" spans="1:12" x14ac:dyDescent="0.3">
      <c r="A91" s="1" t="s">
        <v>136</v>
      </c>
      <c r="B91" s="1">
        <f t="shared" si="1"/>
        <v>90</v>
      </c>
      <c r="C91" s="2">
        <v>216</v>
      </c>
      <c r="D91" s="2">
        <v>0</v>
      </c>
      <c r="E91" s="2">
        <v>72</v>
      </c>
      <c r="F91" s="2">
        <v>72</v>
      </c>
      <c r="G91" s="2"/>
      <c r="H91" s="2" t="s">
        <v>136</v>
      </c>
      <c r="I91" s="2"/>
      <c r="J91" s="2"/>
      <c r="K91" s="2">
        <v>0</v>
      </c>
      <c r="L91" s="2">
        <v>0</v>
      </c>
    </row>
    <row r="92" spans="1:12" x14ac:dyDescent="0.3">
      <c r="A92" s="1" t="s">
        <v>137</v>
      </c>
      <c r="B92" s="1">
        <f t="shared" si="1"/>
        <v>91</v>
      </c>
      <c r="C92" s="2">
        <v>288</v>
      </c>
      <c r="D92" s="2">
        <v>0</v>
      </c>
      <c r="E92" s="2">
        <v>72</v>
      </c>
      <c r="F92" s="2">
        <v>72</v>
      </c>
      <c r="G92" s="2"/>
      <c r="H92" s="2" t="s">
        <v>137</v>
      </c>
      <c r="I92" s="2"/>
      <c r="J92" s="2"/>
      <c r="K92" s="2">
        <v>0</v>
      </c>
      <c r="L92" s="2">
        <v>0</v>
      </c>
    </row>
    <row r="93" spans="1:12" x14ac:dyDescent="0.3">
      <c r="A93" s="1" t="s">
        <v>138</v>
      </c>
      <c r="B93" s="1">
        <f t="shared" si="1"/>
        <v>92</v>
      </c>
      <c r="C93" s="2">
        <v>360</v>
      </c>
      <c r="D93" s="2">
        <v>0</v>
      </c>
      <c r="E93" s="2">
        <v>72</v>
      </c>
      <c r="F93" s="2">
        <v>72</v>
      </c>
      <c r="G93" s="2"/>
      <c r="H93" s="2" t="s">
        <v>138</v>
      </c>
      <c r="I93" s="2"/>
      <c r="J93" s="2"/>
      <c r="K93" s="2">
        <v>0</v>
      </c>
      <c r="L93" s="2">
        <v>0</v>
      </c>
    </row>
    <row r="94" spans="1:12" x14ac:dyDescent="0.3">
      <c r="A94" s="1" t="s">
        <v>139</v>
      </c>
      <c r="B94" s="1">
        <f t="shared" si="1"/>
        <v>93</v>
      </c>
      <c r="C94" s="2">
        <v>468</v>
      </c>
      <c r="D94" s="2">
        <v>0</v>
      </c>
      <c r="E94" s="2">
        <v>72</v>
      </c>
      <c r="F94" s="2">
        <v>72</v>
      </c>
      <c r="G94" s="2"/>
      <c r="H94" s="2" t="s">
        <v>139</v>
      </c>
      <c r="I94" s="2"/>
      <c r="J94" s="2"/>
      <c r="K94" s="2">
        <v>0</v>
      </c>
      <c r="L94" s="2">
        <v>0</v>
      </c>
    </row>
    <row r="95" spans="1:12" x14ac:dyDescent="0.3">
      <c r="A95" s="1" t="s">
        <v>140</v>
      </c>
      <c r="B95" s="1">
        <f t="shared" si="1"/>
        <v>94</v>
      </c>
      <c r="C95" s="2">
        <v>540</v>
      </c>
      <c r="D95" s="2">
        <v>0</v>
      </c>
      <c r="E95" s="2">
        <v>72</v>
      </c>
      <c r="F95" s="2">
        <v>72</v>
      </c>
      <c r="G95" s="2"/>
      <c r="H95" s="2" t="s">
        <v>140</v>
      </c>
      <c r="I95" s="2"/>
      <c r="J95" s="2"/>
      <c r="K95" s="2">
        <v>0</v>
      </c>
      <c r="L95" s="2">
        <v>0</v>
      </c>
    </row>
    <row r="96" spans="1:12" x14ac:dyDescent="0.3">
      <c r="A96" s="1" t="s">
        <v>141</v>
      </c>
      <c r="B96" s="1">
        <f t="shared" si="1"/>
        <v>95</v>
      </c>
      <c r="C96" s="2">
        <v>612</v>
      </c>
      <c r="D96" s="2">
        <v>0</v>
      </c>
      <c r="E96" s="2">
        <v>72</v>
      </c>
      <c r="F96" s="2">
        <v>72</v>
      </c>
      <c r="G96" s="2"/>
      <c r="H96" s="2" t="s">
        <v>141</v>
      </c>
      <c r="I96" s="2"/>
      <c r="J96" s="2"/>
      <c r="K96" s="2">
        <v>0</v>
      </c>
      <c r="L96" s="2">
        <v>0</v>
      </c>
    </row>
    <row r="97" spans="1:12" x14ac:dyDescent="0.3">
      <c r="A97" s="1" t="s">
        <v>142</v>
      </c>
      <c r="B97" s="1">
        <f t="shared" si="1"/>
        <v>96</v>
      </c>
      <c r="C97" s="2">
        <v>684</v>
      </c>
      <c r="D97" s="2">
        <v>0</v>
      </c>
      <c r="E97" s="2">
        <v>72</v>
      </c>
      <c r="F97" s="2">
        <v>72</v>
      </c>
      <c r="G97" s="2"/>
      <c r="H97" s="2" t="s">
        <v>142</v>
      </c>
      <c r="I97" s="2"/>
      <c r="J97" s="2"/>
      <c r="K97" s="2">
        <v>0</v>
      </c>
      <c r="L97" s="2">
        <v>0</v>
      </c>
    </row>
    <row r="98" spans="1:12" x14ac:dyDescent="0.3">
      <c r="A98" s="1" t="s">
        <v>143</v>
      </c>
      <c r="B98" s="1">
        <f t="shared" si="1"/>
        <v>97</v>
      </c>
      <c r="C98" s="2">
        <v>792</v>
      </c>
      <c r="D98" s="2">
        <v>0</v>
      </c>
      <c r="E98" s="2">
        <v>72</v>
      </c>
      <c r="F98" s="2">
        <v>72</v>
      </c>
      <c r="G98" s="2"/>
      <c r="H98" s="2" t="s">
        <v>143</v>
      </c>
      <c r="I98" s="2"/>
      <c r="J98" s="2"/>
      <c r="K98" s="2">
        <v>0</v>
      </c>
      <c r="L98" s="2">
        <v>0</v>
      </c>
    </row>
    <row r="99" spans="1:12" x14ac:dyDescent="0.3">
      <c r="A99" s="1" t="s">
        <v>144</v>
      </c>
      <c r="B99" s="1">
        <f t="shared" si="1"/>
        <v>98</v>
      </c>
      <c r="C99" s="2">
        <v>864</v>
      </c>
      <c r="D99" s="2">
        <v>0</v>
      </c>
      <c r="E99" s="2">
        <v>72</v>
      </c>
      <c r="F99" s="2">
        <v>72</v>
      </c>
      <c r="G99" s="2"/>
      <c r="H99" s="2" t="s">
        <v>144</v>
      </c>
      <c r="I99" s="2"/>
      <c r="J99" s="2"/>
      <c r="K99" s="2">
        <v>0</v>
      </c>
      <c r="L99" s="2">
        <v>0</v>
      </c>
    </row>
    <row r="100" spans="1:12" x14ac:dyDescent="0.3">
      <c r="A100" s="1" t="s">
        <v>145</v>
      </c>
      <c r="B100" s="1">
        <f t="shared" si="1"/>
        <v>99</v>
      </c>
      <c r="C100" s="2">
        <v>936</v>
      </c>
      <c r="D100" s="2">
        <v>0</v>
      </c>
      <c r="E100" s="2">
        <v>72</v>
      </c>
      <c r="F100" s="2">
        <v>72</v>
      </c>
      <c r="G100" s="2"/>
      <c r="H100" s="2" t="s">
        <v>145</v>
      </c>
      <c r="I100" s="2"/>
      <c r="J100" s="2"/>
      <c r="K100" s="2">
        <v>0</v>
      </c>
      <c r="L100" s="2">
        <v>0</v>
      </c>
    </row>
    <row r="101" spans="1:12" x14ac:dyDescent="0.3">
      <c r="A101" s="1" t="s">
        <v>146</v>
      </c>
      <c r="B101" s="1">
        <f t="shared" si="1"/>
        <v>100</v>
      </c>
      <c r="C101" s="2">
        <v>1008</v>
      </c>
      <c r="D101" s="2">
        <v>0</v>
      </c>
      <c r="E101" s="2">
        <v>72</v>
      </c>
      <c r="F101" s="2">
        <v>72</v>
      </c>
      <c r="G101" s="2"/>
      <c r="H101" s="2" t="s">
        <v>146</v>
      </c>
      <c r="I101" s="2"/>
      <c r="J101" s="2"/>
      <c r="K101" s="2">
        <v>0</v>
      </c>
      <c r="L101" s="2">
        <v>0</v>
      </c>
    </row>
    <row r="102" spans="1:12" x14ac:dyDescent="0.3">
      <c r="A102" s="1" t="s">
        <v>160</v>
      </c>
      <c r="B102" s="1">
        <f t="shared" si="1"/>
        <v>101</v>
      </c>
      <c r="C102" s="2">
        <v>1110</v>
      </c>
      <c r="D102" s="2">
        <v>0</v>
      </c>
      <c r="E102" s="2">
        <v>72</v>
      </c>
      <c r="F102" s="2">
        <v>72</v>
      </c>
      <c r="G102" s="2"/>
      <c r="H102" s="2" t="s">
        <v>160</v>
      </c>
      <c r="I102" s="2"/>
      <c r="J102" s="2"/>
      <c r="K102" s="2">
        <v>0</v>
      </c>
      <c r="L102" s="2">
        <v>0</v>
      </c>
    </row>
    <row r="103" spans="1:12" x14ac:dyDescent="0.3">
      <c r="A103" s="1" t="s">
        <v>159</v>
      </c>
      <c r="B103" s="1">
        <f t="shared" si="1"/>
        <v>102</v>
      </c>
      <c r="C103" s="2">
        <v>1182</v>
      </c>
      <c r="D103" s="2">
        <v>0</v>
      </c>
      <c r="E103" s="2">
        <v>72</v>
      </c>
      <c r="F103" s="2">
        <v>72</v>
      </c>
      <c r="G103" s="2"/>
      <c r="H103" s="2" t="s">
        <v>159</v>
      </c>
      <c r="I103" s="2"/>
      <c r="J103" s="2"/>
      <c r="K103" s="2">
        <v>0</v>
      </c>
      <c r="L103" s="2">
        <v>0</v>
      </c>
    </row>
    <row r="104" spans="1:12" x14ac:dyDescent="0.3">
      <c r="A104" s="1" t="s">
        <v>149</v>
      </c>
      <c r="B104" s="1">
        <f t="shared" si="1"/>
        <v>103</v>
      </c>
      <c r="C104" s="2">
        <v>1254</v>
      </c>
      <c r="D104" s="2">
        <v>0</v>
      </c>
      <c r="E104" s="2">
        <v>72</v>
      </c>
      <c r="F104" s="2">
        <v>72</v>
      </c>
      <c r="G104" s="2"/>
      <c r="H104" s="2" t="s">
        <v>149</v>
      </c>
      <c r="I104" s="2"/>
      <c r="J104" s="2"/>
      <c r="K104" s="2">
        <v>0</v>
      </c>
      <c r="L104" s="2">
        <v>0</v>
      </c>
    </row>
    <row r="105" spans="1:12" x14ac:dyDescent="0.3">
      <c r="A105" s="1" t="s">
        <v>150</v>
      </c>
      <c r="B105" s="1">
        <f t="shared" si="1"/>
        <v>104</v>
      </c>
      <c r="C105" s="2">
        <v>90</v>
      </c>
      <c r="D105" s="2">
        <v>396</v>
      </c>
      <c r="E105" s="2">
        <v>90</v>
      </c>
      <c r="F105" s="2">
        <v>72</v>
      </c>
      <c r="G105" s="2"/>
      <c r="H105" s="2" t="s">
        <v>150</v>
      </c>
      <c r="I105" s="2"/>
      <c r="J105" s="2"/>
      <c r="K105" s="2">
        <v>0</v>
      </c>
      <c r="L105" s="2">
        <v>0</v>
      </c>
    </row>
    <row r="106" spans="1:12" x14ac:dyDescent="0.3">
      <c r="A106" s="1" t="s">
        <v>151</v>
      </c>
      <c r="B106" s="1">
        <f t="shared" si="1"/>
        <v>105</v>
      </c>
      <c r="C106" s="2">
        <v>810</v>
      </c>
      <c r="D106" s="2">
        <v>396</v>
      </c>
      <c r="E106" s="2">
        <v>90</v>
      </c>
      <c r="F106" s="2">
        <v>72</v>
      </c>
      <c r="G106" s="2"/>
      <c r="H106" s="2" t="s">
        <v>151</v>
      </c>
      <c r="I106" s="2"/>
      <c r="J106" s="2"/>
      <c r="K106" s="2">
        <v>0</v>
      </c>
      <c r="L106" s="2">
        <v>0</v>
      </c>
    </row>
    <row r="107" spans="1:12" x14ac:dyDescent="0.3">
      <c r="A107" s="1" t="s">
        <v>161</v>
      </c>
      <c r="B107" s="1">
        <f t="shared" si="1"/>
        <v>106</v>
      </c>
      <c r="C107" s="2">
        <v>900</v>
      </c>
      <c r="D107" s="2">
        <v>396</v>
      </c>
      <c r="E107" s="2">
        <v>90</v>
      </c>
      <c r="F107" s="2">
        <v>72</v>
      </c>
      <c r="G107" s="2"/>
      <c r="H107" s="2" t="s">
        <v>161</v>
      </c>
      <c r="I107" s="2"/>
      <c r="J107" s="2"/>
      <c r="K107" s="2">
        <v>0</v>
      </c>
      <c r="L107" s="2">
        <v>0</v>
      </c>
    </row>
    <row r="108" spans="1:12" x14ac:dyDescent="0.3">
      <c r="A108" s="1" t="s">
        <v>246</v>
      </c>
      <c r="B108" s="1">
        <f t="shared" si="1"/>
        <v>107</v>
      </c>
    </row>
    <row r="109" spans="1:12" x14ac:dyDescent="0.3">
      <c r="A109" s="1" t="s">
        <v>246</v>
      </c>
      <c r="B109" s="1">
        <f t="shared" si="1"/>
        <v>108</v>
      </c>
    </row>
    <row r="110" spans="1:12" x14ac:dyDescent="0.3">
      <c r="A110" s="1" t="s">
        <v>246</v>
      </c>
      <c r="B110" s="1">
        <f t="shared" si="1"/>
        <v>109</v>
      </c>
    </row>
    <row r="111" spans="1:12" x14ac:dyDescent="0.3">
      <c r="A111" s="1" t="s">
        <v>246</v>
      </c>
      <c r="B111" s="1">
        <f t="shared" si="1"/>
        <v>110</v>
      </c>
    </row>
    <row r="112" spans="1:12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4809-3CED-446B-8980-DD6CBDB2E46F}">
  <sheetPr codeName="Sheet4"/>
  <dimension ref="A1:P119"/>
  <sheetViews>
    <sheetView workbookViewId="0">
      <pane xSplit="2" ySplit="1" topLeftCell="C98" activePane="bottomRight" state="frozen"/>
      <selection pane="topRight" activeCell="C1" sqref="C1"/>
      <selection pane="bottomLeft" activeCell="A2" sqref="A2"/>
      <selection pane="bottomRight" activeCell="A108" sqref="A108:B119"/>
    </sheetView>
  </sheetViews>
  <sheetFormatPr defaultRowHeight="14.4" x14ac:dyDescent="0.3"/>
  <sheetData>
    <row r="1" spans="1:16" x14ac:dyDescent="0.3">
      <c r="A1" s="1" t="s">
        <v>153</v>
      </c>
      <c r="B1" s="1" t="s">
        <v>154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5" t="e">
        <f ca="1">"INSERT INTO positions ("&amp;_xlfn.TEXTJOIN(",",FALSE,$C1:$O1)&amp;") VALUES "</f>
        <v>#NAME?</v>
      </c>
    </row>
    <row r="2" spans="1:16" x14ac:dyDescent="0.3">
      <c r="A2" s="1" t="s">
        <v>162</v>
      </c>
      <c r="B2" s="1">
        <f t="shared" ref="B2:B65" si="0">ROW(B2)-1</f>
        <v>1</v>
      </c>
      <c r="C2" s="6" t="str">
        <f>IF(COUNTIF(PC.TU105.Inp!$C2:$L2,"")=10,"","NULL")</f>
        <v>NULL</v>
      </c>
      <c r="D2" s="6" t="str">
        <f>IF(COUNTIF(PC.TU105.Inp!$C2:$L2,"")=10,"","NULL")</f>
        <v>NULL</v>
      </c>
      <c r="E2" s="6">
        <f>IF(COUNTIF(PC.TU105.Inp!$C2:$L2,"")=10,"",$B2)</f>
        <v>1</v>
      </c>
      <c r="F2" s="6">
        <f>IF(COUNTIF(PC.TU105.Inp!$C2:$L2,"")=10,"",IF(PC.TU105.Inp!$C2="","NULL",PC.TU105.Inp!$C2))</f>
        <v>0</v>
      </c>
      <c r="G2" s="6">
        <f>IF(COUNTIF(PC.TU105.Inp!$C2:$L2,"")=10,"",IF(PC.TU105.Inp!$D2="","NULL",PC.TU105.Inp!$D2))</f>
        <v>108</v>
      </c>
      <c r="H2" s="6">
        <f>IF(COUNTIF(PC.TU105.Inp!$C2:$L2,"")=10,"",IF(PC.TU105.Inp!$E2="","NULL",PC.TU105.Inp!$E2))</f>
        <v>72</v>
      </c>
      <c r="I2" s="6">
        <f>IF(COUNTIF(PC.TU105.Inp!$C2:$L2,"")=10,"",IF(PC.TU105.Inp!$F2="","NULL",PC.TU105.Inp!$F2))</f>
        <v>72</v>
      </c>
      <c r="J2" s="6" t="str">
        <f>IF(COUNTIF(PC.TU105.Inp!$C2:$L2,"")=10,"",IF(PC.TU105.Inp!$G2="","NULL",""""&amp;PC.TU105.Inp!$G2&amp;""""))</f>
        <v>"é"</v>
      </c>
      <c r="K2" s="8" t="str">
        <f>IF(COUNTIF(PC.TU105.Inp!$C2:$L2,"")=10,"",IF(PC.TU105.Inp!$H2="","NULL",""""&amp;PC.TU105.Inp!$H2&amp;""""))</f>
        <v>"\""</v>
      </c>
      <c r="L2" s="6" t="str">
        <f>IF(COUNTIF(PC.TU105.Inp!$C2:$L2,"")=10,"",IF(PC.TU105.Inp!$I2="","NULL",""""&amp;PC.TU105.Inp!$I2&amp;""""))</f>
        <v>NULL</v>
      </c>
      <c r="M2" s="6" t="str">
        <f>IF(COUNTIF(PC.TU105.Inp!$C2:$L2,"")=10,"",IF(PC.TU105.Inp!$J2="","NULL",""""&amp;PC.TU105.Inp!$J2&amp;""""))</f>
        <v>"&lt;"</v>
      </c>
      <c r="N2" s="6">
        <f>IF(COUNTIF(PC.TU105.Inp!$C2:$L2,"")=10,"",IF(PC.TU105.Inp!$K2="","NULL",PC.TU105.Inp!$K2))</f>
        <v>0</v>
      </c>
      <c r="O2" s="6">
        <f>IF(COUNTIF(PC.TU105.Inp!$C2:$L2,"")=10,"",IF(PC.TU105.Inp!$L2="","NULL",PC.TU105.Inp!$L2))</f>
        <v>0</v>
      </c>
      <c r="P2" s="7" t="e">
        <f ca="1">IF(COUNTIF(PC.TU105.Inp!$C2:$L2,"")=10,"","("&amp;_xlfn.TEXTJOIN(",",FALSE,$C2:$O2)&amp;"),")</f>
        <v>#NAME?</v>
      </c>
    </row>
    <row r="3" spans="1:16" x14ac:dyDescent="0.3">
      <c r="A3" s="1">
        <v>1</v>
      </c>
      <c r="B3" s="1">
        <f t="shared" si="0"/>
        <v>2</v>
      </c>
      <c r="C3" s="6" t="str">
        <f>IF(COUNTIF(PC.TU105.Inp!$C3:$L3,"")=10,"","NULL")</f>
        <v>NULL</v>
      </c>
      <c r="D3" s="6" t="str">
        <f>IF(COUNTIF(PC.TU105.Inp!$C3:$L3,"")=10,"","NULL")</f>
        <v>NULL</v>
      </c>
      <c r="E3" s="6">
        <f>IF(COUNTIF(PC.TU105.Inp!$C3:$L3,"")=10,"",$B3)</f>
        <v>2</v>
      </c>
      <c r="F3" s="6">
        <f>IF(COUNTIF(PC.TU105.Inp!$C3:$L3,"")=10,"",IF(PC.TU105.Inp!$C3="","NULL",PC.TU105.Inp!$C3))</f>
        <v>72</v>
      </c>
      <c r="G3" s="6">
        <f>IF(COUNTIF(PC.TU105.Inp!$C3:$L3,"")=10,"",IF(PC.TU105.Inp!$D3="","NULL",PC.TU105.Inp!$D3))</f>
        <v>108</v>
      </c>
      <c r="H3" s="6">
        <f>IF(COUNTIF(PC.TU105.Inp!$C3:$L3,"")=10,"",IF(PC.TU105.Inp!$E3="","NULL",PC.TU105.Inp!$E3))</f>
        <v>72</v>
      </c>
      <c r="I3" s="6">
        <f>IF(COUNTIF(PC.TU105.Inp!$C3:$L3,"")=10,"",IF(PC.TU105.Inp!$F3="","NULL",PC.TU105.Inp!$F3))</f>
        <v>72</v>
      </c>
      <c r="J3" s="6" t="str">
        <f>IF(COUNTIF(PC.TU105.Inp!$C3:$L3,"")=10,"",IF(PC.TU105.Inp!$G3="","NULL",""""&amp;PC.TU105.Inp!$G3&amp;""""))</f>
        <v>"!"</v>
      </c>
      <c r="K3" s="6" t="str">
        <f>IF(COUNTIF(PC.TU105.Inp!$C3:$L3,"")=10,"",IF(PC.TU105.Inp!$H3="","NULL",""""&amp;PC.TU105.Inp!$H3&amp;""""))</f>
        <v>"1"</v>
      </c>
      <c r="L3" s="6" t="str">
        <f>IF(COUNTIF(PC.TU105.Inp!$C3:$L3,"")=10,"",IF(PC.TU105.Inp!$I3="","NULL",""""&amp;PC.TU105.Inp!$I3&amp;""""))</f>
        <v>NULL</v>
      </c>
      <c r="M3" s="6" t="str">
        <f>IF(COUNTIF(PC.TU105.Inp!$C3:$L3,"")=10,"",IF(PC.TU105.Inp!$J3="","NULL",""""&amp;PC.TU105.Inp!$J3&amp;""""))</f>
        <v>"&gt;"</v>
      </c>
      <c r="N3" s="6">
        <f>IF(COUNTIF(PC.TU105.Inp!$C3:$L3,"")=10,"",IF(PC.TU105.Inp!$K3="","NULL",PC.TU105.Inp!$K3))</f>
        <v>0</v>
      </c>
      <c r="O3" s="6">
        <f>IF(COUNTIF(PC.TU105.Inp!$C3:$L3,"")=10,"",IF(PC.TU105.Inp!$L3="","NULL",PC.TU105.Inp!$L3))</f>
        <v>0</v>
      </c>
      <c r="P3" s="7" t="e">
        <f ca="1">IF(COUNTIF(PC.TU105.Inp!$C3:$L3,"")=10,"","("&amp;_xlfn.TEXTJOIN(",",FALSE,$C3:$O3)&amp;"),")</f>
        <v>#NAME?</v>
      </c>
    </row>
    <row r="4" spans="1:16" x14ac:dyDescent="0.3">
      <c r="A4" s="1">
        <v>2</v>
      </c>
      <c r="B4" s="1">
        <f t="shared" si="0"/>
        <v>3</v>
      </c>
      <c r="C4" s="6" t="str">
        <f>IF(COUNTIF(PC.TU105.Inp!$C4:$L4,"")=10,"","NULL")</f>
        <v>NULL</v>
      </c>
      <c r="D4" s="6" t="str">
        <f>IF(COUNTIF(PC.TU105.Inp!$C4:$L4,"")=10,"","NULL")</f>
        <v>NULL</v>
      </c>
      <c r="E4" s="6">
        <f>IF(COUNTIF(PC.TU105.Inp!$C4:$L4,"")=10,"",$B4)</f>
        <v>3</v>
      </c>
      <c r="F4" s="6">
        <f>IF(COUNTIF(PC.TU105.Inp!$C4:$L4,"")=10,"",IF(PC.TU105.Inp!$C4="","NULL",PC.TU105.Inp!$C4))</f>
        <v>144</v>
      </c>
      <c r="G4" s="6">
        <f>IF(COUNTIF(PC.TU105.Inp!$C4:$L4,"")=10,"",IF(PC.TU105.Inp!$D4="","NULL",PC.TU105.Inp!$D4))</f>
        <v>108</v>
      </c>
      <c r="H4" s="6">
        <f>IF(COUNTIF(PC.TU105.Inp!$C4:$L4,"")=10,"",IF(PC.TU105.Inp!$E4="","NULL",PC.TU105.Inp!$E4))</f>
        <v>72</v>
      </c>
      <c r="I4" s="6">
        <f>IF(COUNTIF(PC.TU105.Inp!$C4:$L4,"")=10,"",IF(PC.TU105.Inp!$F4="","NULL",PC.TU105.Inp!$F4))</f>
        <v>72</v>
      </c>
      <c r="J4" s="8" t="str">
        <f>IF(COUNTIF(PC.TU105.Inp!$C4:$L4,"")=10,"",IF(PC.TU105.Inp!$G4="","NULL",""""&amp;PC.TU105.Inp!$G4&amp;""""))</f>
        <v>"\'"</v>
      </c>
      <c r="K4" s="6" t="str">
        <f>IF(COUNTIF(PC.TU105.Inp!$C4:$L4,"")=10,"",IF(PC.TU105.Inp!$H4="","NULL",""""&amp;PC.TU105.Inp!$H4&amp;""""))</f>
        <v>"2"</v>
      </c>
      <c r="L4" s="6" t="str">
        <f>IF(COUNTIF(PC.TU105.Inp!$C4:$L4,"")=10,"",IF(PC.TU105.Inp!$I4="","NULL",""""&amp;PC.TU105.Inp!$I4&amp;""""))</f>
        <v>NULL</v>
      </c>
      <c r="M4" s="6" t="str">
        <f>IF(COUNTIF(PC.TU105.Inp!$C4:$L4,"")=10,"",IF(PC.TU105.Inp!$J4="","NULL",""""&amp;PC.TU105.Inp!$J4&amp;""""))</f>
        <v>"£"</v>
      </c>
      <c r="N4" s="6">
        <f>IF(COUNTIF(PC.TU105.Inp!$C4:$L4,"")=10,"",IF(PC.TU105.Inp!$K4="","NULL",PC.TU105.Inp!$K4))</f>
        <v>0</v>
      </c>
      <c r="O4" s="6">
        <f>IF(COUNTIF(PC.TU105.Inp!$C4:$L4,"")=10,"",IF(PC.TU105.Inp!$L4="","NULL",PC.TU105.Inp!$L4))</f>
        <v>0</v>
      </c>
      <c r="P4" s="7" t="e">
        <f ca="1">IF(COUNTIF(PC.TU105.Inp!$C4:$L4,"")=10,"","("&amp;_xlfn.TEXTJOIN(",",FALSE,$C4:$O4)&amp;"),")</f>
        <v>#NAME?</v>
      </c>
    </row>
    <row r="5" spans="1:16" x14ac:dyDescent="0.3">
      <c r="A5" s="1">
        <v>3</v>
      </c>
      <c r="B5" s="1">
        <f t="shared" si="0"/>
        <v>4</v>
      </c>
      <c r="C5" s="6" t="str">
        <f>IF(COUNTIF(PC.TU105.Inp!$C5:$L5,"")=10,"","NULL")</f>
        <v>NULL</v>
      </c>
      <c r="D5" s="6" t="str">
        <f>IF(COUNTIF(PC.TU105.Inp!$C5:$L5,"")=10,"","NULL")</f>
        <v>NULL</v>
      </c>
      <c r="E5" s="6">
        <f>IF(COUNTIF(PC.TU105.Inp!$C5:$L5,"")=10,"",$B5)</f>
        <v>4</v>
      </c>
      <c r="F5" s="6">
        <f>IF(COUNTIF(PC.TU105.Inp!$C5:$L5,"")=10,"",IF(PC.TU105.Inp!$C5="","NULL",PC.TU105.Inp!$C5))</f>
        <v>216</v>
      </c>
      <c r="G5" s="6">
        <f>IF(COUNTIF(PC.TU105.Inp!$C5:$L5,"")=10,"",IF(PC.TU105.Inp!$D5="","NULL",PC.TU105.Inp!$D5))</f>
        <v>108</v>
      </c>
      <c r="H5" s="6">
        <f>IF(COUNTIF(PC.TU105.Inp!$C5:$L5,"")=10,"",IF(PC.TU105.Inp!$E5="","NULL",PC.TU105.Inp!$E5))</f>
        <v>72</v>
      </c>
      <c r="I5" s="6">
        <f>IF(COUNTIF(PC.TU105.Inp!$C5:$L5,"")=10,"",IF(PC.TU105.Inp!$F5="","NULL",PC.TU105.Inp!$F5))</f>
        <v>72</v>
      </c>
      <c r="J5" s="6" t="str">
        <f>IF(COUNTIF(PC.TU105.Inp!$C5:$L5,"")=10,"",IF(PC.TU105.Inp!$G5="","NULL",""""&amp;PC.TU105.Inp!$G5&amp;""""))</f>
        <v>"^"</v>
      </c>
      <c r="K5" s="6" t="str">
        <f>IF(COUNTIF(PC.TU105.Inp!$C5:$L5,"")=10,"",IF(PC.TU105.Inp!$H5="","NULL",""""&amp;PC.TU105.Inp!$H5&amp;""""))</f>
        <v>"3"</v>
      </c>
      <c r="L5" s="6" t="str">
        <f>IF(COUNTIF(PC.TU105.Inp!$C5:$L5,"")=10,"",IF(PC.TU105.Inp!$I5="","NULL",""""&amp;PC.TU105.Inp!$I5&amp;""""))</f>
        <v>NULL</v>
      </c>
      <c r="M5" s="6" t="str">
        <f>IF(COUNTIF(PC.TU105.Inp!$C5:$L5,"")=10,"",IF(PC.TU105.Inp!$J5="","NULL",""""&amp;PC.TU105.Inp!$J5&amp;""""))</f>
        <v>"#"</v>
      </c>
      <c r="N5" s="6">
        <f>IF(COUNTIF(PC.TU105.Inp!$C5:$L5,"")=10,"",IF(PC.TU105.Inp!$K5="","NULL",PC.TU105.Inp!$K5))</f>
        <v>0</v>
      </c>
      <c r="O5" s="6">
        <f>IF(COUNTIF(PC.TU105.Inp!$C5:$L5,"")=10,"",IF(PC.TU105.Inp!$L5="","NULL",PC.TU105.Inp!$L5))</f>
        <v>0</v>
      </c>
      <c r="P5" s="7" t="e">
        <f ca="1">IF(COUNTIF(PC.TU105.Inp!$C5:$L5,"")=10,"","("&amp;_xlfn.TEXTJOIN(",",FALSE,$C5:$O5)&amp;"),")</f>
        <v>#NAME?</v>
      </c>
    </row>
    <row r="6" spans="1:16" x14ac:dyDescent="0.3">
      <c r="A6" s="1">
        <v>4</v>
      </c>
      <c r="B6" s="1">
        <f t="shared" si="0"/>
        <v>5</v>
      </c>
      <c r="C6" s="6" t="str">
        <f>IF(COUNTIF(PC.TU105.Inp!$C6:$L6,"")=10,"","NULL")</f>
        <v>NULL</v>
      </c>
      <c r="D6" s="6" t="str">
        <f>IF(COUNTIF(PC.TU105.Inp!$C6:$L6,"")=10,"","NULL")</f>
        <v>NULL</v>
      </c>
      <c r="E6" s="6">
        <f>IF(COUNTIF(PC.TU105.Inp!$C6:$L6,"")=10,"",$B6)</f>
        <v>5</v>
      </c>
      <c r="F6" s="6">
        <f>IF(COUNTIF(PC.TU105.Inp!$C6:$L6,"")=10,"",IF(PC.TU105.Inp!$C6="","NULL",PC.TU105.Inp!$C6))</f>
        <v>288</v>
      </c>
      <c r="G6" s="6">
        <f>IF(COUNTIF(PC.TU105.Inp!$C6:$L6,"")=10,"",IF(PC.TU105.Inp!$D6="","NULL",PC.TU105.Inp!$D6))</f>
        <v>108</v>
      </c>
      <c r="H6" s="6">
        <f>IF(COUNTIF(PC.TU105.Inp!$C6:$L6,"")=10,"",IF(PC.TU105.Inp!$E6="","NULL",PC.TU105.Inp!$E6))</f>
        <v>72</v>
      </c>
      <c r="I6" s="6">
        <f>IF(COUNTIF(PC.TU105.Inp!$C6:$L6,"")=10,"",IF(PC.TU105.Inp!$F6="","NULL",PC.TU105.Inp!$F6))</f>
        <v>72</v>
      </c>
      <c r="J6" s="6" t="str">
        <f>IF(COUNTIF(PC.TU105.Inp!$C6:$L6,"")=10,"",IF(PC.TU105.Inp!$G6="","NULL",""""&amp;PC.TU105.Inp!$G6&amp;""""))</f>
        <v>"+"</v>
      </c>
      <c r="K6" s="6" t="str">
        <f>IF(COUNTIF(PC.TU105.Inp!$C6:$L6,"")=10,"",IF(PC.TU105.Inp!$H6="","NULL",""""&amp;PC.TU105.Inp!$H6&amp;""""))</f>
        <v>"4"</v>
      </c>
      <c r="L6" s="6" t="str">
        <f>IF(COUNTIF(PC.TU105.Inp!$C6:$L6,"")=10,"",IF(PC.TU105.Inp!$I6="","NULL",""""&amp;PC.TU105.Inp!$I6&amp;""""))</f>
        <v>NULL</v>
      </c>
      <c r="M6" s="6" t="str">
        <f>IF(COUNTIF(PC.TU105.Inp!$C6:$L6,"")=10,"",IF(PC.TU105.Inp!$J6="","NULL",""""&amp;PC.TU105.Inp!$J6&amp;""""))</f>
        <v>"$"</v>
      </c>
      <c r="N6" s="6">
        <f>IF(COUNTIF(PC.TU105.Inp!$C6:$L6,"")=10,"",IF(PC.TU105.Inp!$K6="","NULL",PC.TU105.Inp!$K6))</f>
        <v>0</v>
      </c>
      <c r="O6" s="6">
        <f>IF(COUNTIF(PC.TU105.Inp!$C6:$L6,"")=10,"",IF(PC.TU105.Inp!$L6="","NULL",PC.TU105.Inp!$L6))</f>
        <v>0</v>
      </c>
      <c r="P6" s="7" t="e">
        <f ca="1">IF(COUNTIF(PC.TU105.Inp!$C6:$L6,"")=10,"","("&amp;_xlfn.TEXTJOIN(",",FALSE,$C6:$O6)&amp;"),")</f>
        <v>#NAME?</v>
      </c>
    </row>
    <row r="7" spans="1:16" x14ac:dyDescent="0.3">
      <c r="A7" s="1">
        <v>5</v>
      </c>
      <c r="B7" s="1">
        <f t="shared" si="0"/>
        <v>6</v>
      </c>
      <c r="C7" s="6" t="str">
        <f>IF(COUNTIF(PC.TU105.Inp!$C7:$L7,"")=10,"","NULL")</f>
        <v>NULL</v>
      </c>
      <c r="D7" s="6" t="str">
        <f>IF(COUNTIF(PC.TU105.Inp!$C7:$L7,"")=10,"","NULL")</f>
        <v>NULL</v>
      </c>
      <c r="E7" s="6">
        <f>IF(COUNTIF(PC.TU105.Inp!$C7:$L7,"")=10,"",$B7)</f>
        <v>6</v>
      </c>
      <c r="F7" s="6">
        <f>IF(COUNTIF(PC.TU105.Inp!$C7:$L7,"")=10,"",IF(PC.TU105.Inp!$C7="","NULL",PC.TU105.Inp!$C7))</f>
        <v>360</v>
      </c>
      <c r="G7" s="6">
        <f>IF(COUNTIF(PC.TU105.Inp!$C7:$L7,"")=10,"",IF(PC.TU105.Inp!$D7="","NULL",PC.TU105.Inp!$D7))</f>
        <v>108</v>
      </c>
      <c r="H7" s="6">
        <f>IF(COUNTIF(PC.TU105.Inp!$C7:$L7,"")=10,"",IF(PC.TU105.Inp!$E7="","NULL",PC.TU105.Inp!$E7))</f>
        <v>72</v>
      </c>
      <c r="I7" s="6">
        <f>IF(COUNTIF(PC.TU105.Inp!$C7:$L7,"")=10,"",IF(PC.TU105.Inp!$F7="","NULL",PC.TU105.Inp!$F7))</f>
        <v>72</v>
      </c>
      <c r="J7" s="6" t="str">
        <f>IF(COUNTIF(PC.TU105.Inp!$C7:$L7,"")=10,"",IF(PC.TU105.Inp!$G7="","NULL",""""&amp;PC.TU105.Inp!$G7&amp;""""))</f>
        <v>"%"</v>
      </c>
      <c r="K7" s="6" t="str">
        <f>IF(COUNTIF(PC.TU105.Inp!$C7:$L7,"")=10,"",IF(PC.TU105.Inp!$H7="","NULL",""""&amp;PC.TU105.Inp!$H7&amp;""""))</f>
        <v>"5"</v>
      </c>
      <c r="L7" s="6" t="str">
        <f>IF(COUNTIF(PC.TU105.Inp!$C7:$L7,"")=10,"",IF(PC.TU105.Inp!$I7="","NULL",""""&amp;PC.TU105.Inp!$I7&amp;""""))</f>
        <v>NULL</v>
      </c>
      <c r="M7" s="6" t="str">
        <f>IF(COUNTIF(PC.TU105.Inp!$C7:$L7,"")=10,"",IF(PC.TU105.Inp!$J7="","NULL",""""&amp;PC.TU105.Inp!$J7&amp;""""))</f>
        <v>"½"</v>
      </c>
      <c r="N7" s="6">
        <f>IF(COUNTIF(PC.TU105.Inp!$C7:$L7,"")=10,"",IF(PC.TU105.Inp!$K7="","NULL",PC.TU105.Inp!$K7))</f>
        <v>0</v>
      </c>
      <c r="O7" s="6">
        <f>IF(COUNTIF(PC.TU105.Inp!$C7:$L7,"")=10,"",IF(PC.TU105.Inp!$L7="","NULL",PC.TU105.Inp!$L7))</f>
        <v>0</v>
      </c>
      <c r="P7" s="7" t="e">
        <f ca="1">IF(COUNTIF(PC.TU105.Inp!$C7:$L7,"")=10,"","("&amp;_xlfn.TEXTJOIN(",",FALSE,$C7:$O7)&amp;"),")</f>
        <v>#NAME?</v>
      </c>
    </row>
    <row r="8" spans="1:16" x14ac:dyDescent="0.3">
      <c r="A8" s="1">
        <v>6</v>
      </c>
      <c r="B8" s="1">
        <f t="shared" si="0"/>
        <v>7</v>
      </c>
      <c r="C8" s="6" t="str">
        <f>IF(COUNTIF(PC.TU105.Inp!$C8:$L8,"")=10,"","NULL")</f>
        <v>NULL</v>
      </c>
      <c r="D8" s="6" t="str">
        <f>IF(COUNTIF(PC.TU105.Inp!$C8:$L8,"")=10,"","NULL")</f>
        <v>NULL</v>
      </c>
      <c r="E8" s="6">
        <f>IF(COUNTIF(PC.TU105.Inp!$C8:$L8,"")=10,"",$B8)</f>
        <v>7</v>
      </c>
      <c r="F8" s="6">
        <f>IF(COUNTIF(PC.TU105.Inp!$C8:$L8,"")=10,"",IF(PC.TU105.Inp!$C8="","NULL",PC.TU105.Inp!$C8))</f>
        <v>432</v>
      </c>
      <c r="G8" s="6">
        <f>IF(COUNTIF(PC.TU105.Inp!$C8:$L8,"")=10,"",IF(PC.TU105.Inp!$D8="","NULL",PC.TU105.Inp!$D8))</f>
        <v>108</v>
      </c>
      <c r="H8" s="6">
        <f>IF(COUNTIF(PC.TU105.Inp!$C8:$L8,"")=10,"",IF(PC.TU105.Inp!$E8="","NULL",PC.TU105.Inp!$E8))</f>
        <v>72</v>
      </c>
      <c r="I8" s="6">
        <f>IF(COUNTIF(PC.TU105.Inp!$C8:$L8,"")=10,"",IF(PC.TU105.Inp!$F8="","NULL",PC.TU105.Inp!$F8))</f>
        <v>72</v>
      </c>
      <c r="J8" s="6" t="str">
        <f>IF(COUNTIF(PC.TU105.Inp!$C8:$L8,"")=10,"",IF(PC.TU105.Inp!$G8="","NULL",""""&amp;PC.TU105.Inp!$G8&amp;""""))</f>
        <v>"&amp;"</v>
      </c>
      <c r="K8" s="6" t="str">
        <f>IF(COUNTIF(PC.TU105.Inp!$C8:$L8,"")=10,"",IF(PC.TU105.Inp!$H8="","NULL",""""&amp;PC.TU105.Inp!$H8&amp;""""))</f>
        <v>"6"</v>
      </c>
      <c r="L8" s="6" t="str">
        <f>IF(COUNTIF(PC.TU105.Inp!$C8:$L8,"")=10,"",IF(PC.TU105.Inp!$I8="","NULL",""""&amp;PC.TU105.Inp!$I8&amp;""""))</f>
        <v>NULL</v>
      </c>
      <c r="M8" s="6" t="str">
        <f>IF(COUNTIF(PC.TU105.Inp!$C8:$L8,"")=10,"",IF(PC.TU105.Inp!$J8="","NULL",""""&amp;PC.TU105.Inp!$J8&amp;""""))</f>
        <v>NULL</v>
      </c>
      <c r="N8" s="6">
        <f>IF(COUNTIF(PC.TU105.Inp!$C8:$L8,"")=10,"",IF(PC.TU105.Inp!$K8="","NULL",PC.TU105.Inp!$K8))</f>
        <v>0</v>
      </c>
      <c r="O8" s="6">
        <f>IF(COUNTIF(PC.TU105.Inp!$C8:$L8,"")=10,"",IF(PC.TU105.Inp!$L8="","NULL",PC.TU105.Inp!$L8))</f>
        <v>0</v>
      </c>
      <c r="P8" s="7" t="e">
        <f ca="1">IF(COUNTIF(PC.TU105.Inp!$C8:$L8,"")=10,"","("&amp;_xlfn.TEXTJOIN(",",FALSE,$C8:$O8)&amp;"),")</f>
        <v>#NAME?</v>
      </c>
    </row>
    <row r="9" spans="1:16" x14ac:dyDescent="0.3">
      <c r="A9" s="1">
        <v>7</v>
      </c>
      <c r="B9" s="1">
        <f t="shared" si="0"/>
        <v>8</v>
      </c>
      <c r="C9" s="6" t="str">
        <f>IF(COUNTIF(PC.TU105.Inp!$C9:$L9,"")=10,"","NULL")</f>
        <v>NULL</v>
      </c>
      <c r="D9" s="6" t="str">
        <f>IF(COUNTIF(PC.TU105.Inp!$C9:$L9,"")=10,"","NULL")</f>
        <v>NULL</v>
      </c>
      <c r="E9" s="6">
        <f>IF(COUNTIF(PC.TU105.Inp!$C9:$L9,"")=10,"",$B9)</f>
        <v>8</v>
      </c>
      <c r="F9" s="6">
        <f>IF(COUNTIF(PC.TU105.Inp!$C9:$L9,"")=10,"",IF(PC.TU105.Inp!$C9="","NULL",PC.TU105.Inp!$C9))</f>
        <v>504</v>
      </c>
      <c r="G9" s="6">
        <f>IF(COUNTIF(PC.TU105.Inp!$C9:$L9,"")=10,"",IF(PC.TU105.Inp!$D9="","NULL",PC.TU105.Inp!$D9))</f>
        <v>108</v>
      </c>
      <c r="H9" s="6">
        <f>IF(COUNTIF(PC.TU105.Inp!$C9:$L9,"")=10,"",IF(PC.TU105.Inp!$E9="","NULL",PC.TU105.Inp!$E9))</f>
        <v>72</v>
      </c>
      <c r="I9" s="6">
        <f>IF(COUNTIF(PC.TU105.Inp!$C9:$L9,"")=10,"",IF(PC.TU105.Inp!$F9="","NULL",PC.TU105.Inp!$F9))</f>
        <v>72</v>
      </c>
      <c r="J9" s="6" t="str">
        <f>IF(COUNTIF(PC.TU105.Inp!$C9:$L9,"")=10,"",IF(PC.TU105.Inp!$G9="","NULL",""""&amp;PC.TU105.Inp!$G9&amp;""""))</f>
        <v>"/"</v>
      </c>
      <c r="K9" s="6" t="str">
        <f>IF(COUNTIF(PC.TU105.Inp!$C9:$L9,"")=10,"",IF(PC.TU105.Inp!$H9="","NULL",""""&amp;PC.TU105.Inp!$H9&amp;""""))</f>
        <v>"7"</v>
      </c>
      <c r="L9" s="6" t="str">
        <f>IF(COUNTIF(PC.TU105.Inp!$C9:$L9,"")=10,"",IF(PC.TU105.Inp!$I9="","NULL",""""&amp;PC.TU105.Inp!$I9&amp;""""))</f>
        <v>NULL</v>
      </c>
      <c r="M9" s="6" t="str">
        <f>IF(COUNTIF(PC.TU105.Inp!$C9:$L9,"")=10,"",IF(PC.TU105.Inp!$J9="","NULL",""""&amp;PC.TU105.Inp!$J9&amp;""""))</f>
        <v>"{"</v>
      </c>
      <c r="N9" s="6">
        <f>IF(COUNTIF(PC.TU105.Inp!$C9:$L9,"")=10,"",IF(PC.TU105.Inp!$K9="","NULL",PC.TU105.Inp!$K9))</f>
        <v>0</v>
      </c>
      <c r="O9" s="6">
        <f>IF(COUNTIF(PC.TU105.Inp!$C9:$L9,"")=10,"",IF(PC.TU105.Inp!$L9="","NULL",PC.TU105.Inp!$L9))</f>
        <v>0</v>
      </c>
      <c r="P9" s="7" t="e">
        <f ca="1">IF(COUNTIF(PC.TU105.Inp!$C9:$L9,"")=10,"","("&amp;_xlfn.TEXTJOIN(",",FALSE,$C9:$O9)&amp;"),")</f>
        <v>#NAME?</v>
      </c>
    </row>
    <row r="10" spans="1:16" x14ac:dyDescent="0.3">
      <c r="A10" s="1">
        <v>8</v>
      </c>
      <c r="B10" s="1">
        <f t="shared" si="0"/>
        <v>9</v>
      </c>
      <c r="C10" s="6" t="str">
        <f>IF(COUNTIF(PC.TU105.Inp!$C10:$L10,"")=10,"","NULL")</f>
        <v>NULL</v>
      </c>
      <c r="D10" s="6" t="str">
        <f>IF(COUNTIF(PC.TU105.Inp!$C10:$L10,"")=10,"","NULL")</f>
        <v>NULL</v>
      </c>
      <c r="E10" s="6">
        <f>IF(COUNTIF(PC.TU105.Inp!$C10:$L10,"")=10,"",$B10)</f>
        <v>9</v>
      </c>
      <c r="F10" s="6">
        <f>IF(COUNTIF(PC.TU105.Inp!$C10:$L10,"")=10,"",IF(PC.TU105.Inp!$C10="","NULL",PC.TU105.Inp!$C10))</f>
        <v>576</v>
      </c>
      <c r="G10" s="6">
        <f>IF(COUNTIF(PC.TU105.Inp!$C10:$L10,"")=10,"",IF(PC.TU105.Inp!$D10="","NULL",PC.TU105.Inp!$D10))</f>
        <v>108</v>
      </c>
      <c r="H10" s="6">
        <f>IF(COUNTIF(PC.TU105.Inp!$C10:$L10,"")=10,"",IF(PC.TU105.Inp!$E10="","NULL",PC.TU105.Inp!$E10))</f>
        <v>72</v>
      </c>
      <c r="I10" s="6">
        <f>IF(COUNTIF(PC.TU105.Inp!$C10:$L10,"")=10,"",IF(PC.TU105.Inp!$F10="","NULL",PC.TU105.Inp!$F10))</f>
        <v>72</v>
      </c>
      <c r="J10" s="6" t="str">
        <f>IF(COUNTIF(PC.TU105.Inp!$C10:$L10,"")=10,"",IF(PC.TU105.Inp!$G10="","NULL",""""&amp;PC.TU105.Inp!$G10&amp;""""))</f>
        <v>"("</v>
      </c>
      <c r="K10" s="6" t="str">
        <f>IF(COUNTIF(PC.TU105.Inp!$C10:$L10,"")=10,"",IF(PC.TU105.Inp!$H10="","NULL",""""&amp;PC.TU105.Inp!$H10&amp;""""))</f>
        <v>"8"</v>
      </c>
      <c r="L10" s="6" t="str">
        <f>IF(COUNTIF(PC.TU105.Inp!$C10:$L10,"")=10,"",IF(PC.TU105.Inp!$I10="","NULL",""""&amp;PC.TU105.Inp!$I10&amp;""""))</f>
        <v>NULL</v>
      </c>
      <c r="M10" s="6" t="str">
        <f>IF(COUNTIF(PC.TU105.Inp!$C10:$L10,"")=10,"",IF(PC.TU105.Inp!$J10="","NULL",""""&amp;PC.TU105.Inp!$J10&amp;""""))</f>
        <v>"["</v>
      </c>
      <c r="N10" s="6">
        <f>IF(COUNTIF(PC.TU105.Inp!$C10:$L10,"")=10,"",IF(PC.TU105.Inp!$K10="","NULL",PC.TU105.Inp!$K10))</f>
        <v>0</v>
      </c>
      <c r="O10" s="6">
        <f>IF(COUNTIF(PC.TU105.Inp!$C10:$L10,"")=10,"",IF(PC.TU105.Inp!$L10="","NULL",PC.TU105.Inp!$L10))</f>
        <v>0</v>
      </c>
      <c r="P10" s="7" t="e">
        <f ca="1">IF(COUNTIF(PC.TU105.Inp!$C10:$L10,"")=10,"","("&amp;_xlfn.TEXTJOIN(",",FALSE,$C10:$O10)&amp;"),")</f>
        <v>#NAME?</v>
      </c>
    </row>
    <row r="11" spans="1:16" x14ac:dyDescent="0.3">
      <c r="A11" s="1">
        <v>9</v>
      </c>
      <c r="B11" s="1">
        <f t="shared" si="0"/>
        <v>10</v>
      </c>
      <c r="C11" s="6" t="str">
        <f>IF(COUNTIF(PC.TU105.Inp!$C11:$L11,"")=10,"","NULL")</f>
        <v>NULL</v>
      </c>
      <c r="D11" s="6" t="str">
        <f>IF(COUNTIF(PC.TU105.Inp!$C11:$L11,"")=10,"","NULL")</f>
        <v>NULL</v>
      </c>
      <c r="E11" s="6">
        <f>IF(COUNTIF(PC.TU105.Inp!$C11:$L11,"")=10,"",$B11)</f>
        <v>10</v>
      </c>
      <c r="F11" s="6">
        <f>IF(COUNTIF(PC.TU105.Inp!$C11:$L11,"")=10,"",IF(PC.TU105.Inp!$C11="","NULL",PC.TU105.Inp!$C11))</f>
        <v>648</v>
      </c>
      <c r="G11" s="6">
        <f>IF(COUNTIF(PC.TU105.Inp!$C11:$L11,"")=10,"",IF(PC.TU105.Inp!$D11="","NULL",PC.TU105.Inp!$D11))</f>
        <v>108</v>
      </c>
      <c r="H11" s="6">
        <f>IF(COUNTIF(PC.TU105.Inp!$C11:$L11,"")=10,"",IF(PC.TU105.Inp!$E11="","NULL",PC.TU105.Inp!$E11))</f>
        <v>72</v>
      </c>
      <c r="I11" s="6">
        <f>IF(COUNTIF(PC.TU105.Inp!$C11:$L11,"")=10,"",IF(PC.TU105.Inp!$F11="","NULL",PC.TU105.Inp!$F11))</f>
        <v>72</v>
      </c>
      <c r="J11" s="6" t="str">
        <f>IF(COUNTIF(PC.TU105.Inp!$C11:$L11,"")=10,"",IF(PC.TU105.Inp!$G11="","NULL",""""&amp;PC.TU105.Inp!$G11&amp;""""))</f>
        <v>")"</v>
      </c>
      <c r="K11" s="6" t="str">
        <f>IF(COUNTIF(PC.TU105.Inp!$C11:$L11,"")=10,"",IF(PC.TU105.Inp!$H11="","NULL",""""&amp;PC.TU105.Inp!$H11&amp;""""))</f>
        <v>"9"</v>
      </c>
      <c r="L11" s="6" t="str">
        <f>IF(COUNTIF(PC.TU105.Inp!$C11:$L11,"")=10,"",IF(PC.TU105.Inp!$I11="","NULL",""""&amp;PC.TU105.Inp!$I11&amp;""""))</f>
        <v>NULL</v>
      </c>
      <c r="M11" s="6" t="str">
        <f>IF(COUNTIF(PC.TU105.Inp!$C11:$L11,"")=10,"",IF(PC.TU105.Inp!$J11="","NULL",""""&amp;PC.TU105.Inp!$J11&amp;""""))</f>
        <v>"]"</v>
      </c>
      <c r="N11" s="6">
        <f>IF(COUNTIF(PC.TU105.Inp!$C11:$L11,"")=10,"",IF(PC.TU105.Inp!$K11="","NULL",PC.TU105.Inp!$K11))</f>
        <v>0</v>
      </c>
      <c r="O11" s="6">
        <f>IF(COUNTIF(PC.TU105.Inp!$C11:$L11,"")=10,"",IF(PC.TU105.Inp!$L11="","NULL",PC.TU105.Inp!$L11))</f>
        <v>0</v>
      </c>
      <c r="P11" s="7" t="e">
        <f ca="1">IF(COUNTIF(PC.TU105.Inp!$C11:$L11,"")=10,"","("&amp;_xlfn.TEXTJOIN(",",FALSE,$C11:$O11)&amp;"),")</f>
        <v>#NAME?</v>
      </c>
    </row>
    <row r="12" spans="1:16" x14ac:dyDescent="0.3">
      <c r="A12" s="1">
        <v>0</v>
      </c>
      <c r="B12" s="1">
        <f t="shared" si="0"/>
        <v>11</v>
      </c>
      <c r="C12" s="6" t="str">
        <f>IF(COUNTIF(PC.TU105.Inp!$C12:$L12,"")=10,"","NULL")</f>
        <v>NULL</v>
      </c>
      <c r="D12" s="6" t="str">
        <f>IF(COUNTIF(PC.TU105.Inp!$C12:$L12,"")=10,"","NULL")</f>
        <v>NULL</v>
      </c>
      <c r="E12" s="6">
        <f>IF(COUNTIF(PC.TU105.Inp!$C12:$L12,"")=10,"",$B12)</f>
        <v>11</v>
      </c>
      <c r="F12" s="6">
        <f>IF(COUNTIF(PC.TU105.Inp!$C12:$L12,"")=10,"",IF(PC.TU105.Inp!$C12="","NULL",PC.TU105.Inp!$C12))</f>
        <v>720</v>
      </c>
      <c r="G12" s="6">
        <f>IF(COUNTIF(PC.TU105.Inp!$C12:$L12,"")=10,"",IF(PC.TU105.Inp!$D12="","NULL",PC.TU105.Inp!$D12))</f>
        <v>108</v>
      </c>
      <c r="H12" s="6">
        <f>IF(COUNTIF(PC.TU105.Inp!$C12:$L12,"")=10,"",IF(PC.TU105.Inp!$E12="","NULL",PC.TU105.Inp!$E12))</f>
        <v>72</v>
      </c>
      <c r="I12" s="6">
        <f>IF(COUNTIF(PC.TU105.Inp!$C12:$L12,"")=10,"",IF(PC.TU105.Inp!$F12="","NULL",PC.TU105.Inp!$F12))</f>
        <v>72</v>
      </c>
      <c r="J12" s="6" t="str">
        <f>IF(COUNTIF(PC.TU105.Inp!$C12:$L12,"")=10,"",IF(PC.TU105.Inp!$G12="","NULL",""""&amp;PC.TU105.Inp!$G12&amp;""""))</f>
        <v>"="</v>
      </c>
      <c r="K12" s="6" t="str">
        <f>IF(COUNTIF(PC.TU105.Inp!$C12:$L12,"")=10,"",IF(PC.TU105.Inp!$H12="","NULL",""""&amp;PC.TU105.Inp!$H12&amp;""""))</f>
        <v>"0"</v>
      </c>
      <c r="L12" s="6" t="str">
        <f>IF(COUNTIF(PC.TU105.Inp!$C12:$L12,"")=10,"",IF(PC.TU105.Inp!$I12="","NULL",""""&amp;PC.TU105.Inp!$I12&amp;""""))</f>
        <v>NULL</v>
      </c>
      <c r="M12" s="6" t="str">
        <f>IF(COUNTIF(PC.TU105.Inp!$C12:$L12,"")=10,"",IF(PC.TU105.Inp!$J12="","NULL",""""&amp;PC.TU105.Inp!$J12&amp;""""))</f>
        <v>"}"</v>
      </c>
      <c r="N12" s="6">
        <f>IF(COUNTIF(PC.TU105.Inp!$C12:$L12,"")=10,"",IF(PC.TU105.Inp!$K12="","NULL",PC.TU105.Inp!$K12))</f>
        <v>0</v>
      </c>
      <c r="O12" s="6">
        <f>IF(COUNTIF(PC.TU105.Inp!$C12:$L12,"")=10,"",IF(PC.TU105.Inp!$L12="","NULL",PC.TU105.Inp!$L12))</f>
        <v>0</v>
      </c>
      <c r="P12" s="7" t="e">
        <f ca="1">IF(COUNTIF(PC.TU105.Inp!$C12:$L12,"")=10,"","("&amp;_xlfn.TEXTJOIN(",",FALSE,$C12:$O12)&amp;"),")</f>
        <v>#NAME?</v>
      </c>
    </row>
    <row r="13" spans="1:16" x14ac:dyDescent="0.3">
      <c r="A13" s="1" t="s">
        <v>62</v>
      </c>
      <c r="B13" s="1">
        <f t="shared" si="0"/>
        <v>12</v>
      </c>
      <c r="C13" s="6" t="str">
        <f>IF(COUNTIF(PC.TU105.Inp!$C13:$L13,"")=10,"","NULL")</f>
        <v>NULL</v>
      </c>
      <c r="D13" s="6" t="str">
        <f>IF(COUNTIF(PC.TU105.Inp!$C13:$L13,"")=10,"","NULL")</f>
        <v>NULL</v>
      </c>
      <c r="E13" s="6">
        <f>IF(COUNTIF(PC.TU105.Inp!$C13:$L13,"")=10,"",$B13)</f>
        <v>12</v>
      </c>
      <c r="F13" s="6">
        <f>IF(COUNTIF(PC.TU105.Inp!$C13:$L13,"")=10,"",IF(PC.TU105.Inp!$C13="","NULL",PC.TU105.Inp!$C13))</f>
        <v>792</v>
      </c>
      <c r="G13" s="6">
        <f>IF(COUNTIF(PC.TU105.Inp!$C13:$L13,"")=10,"",IF(PC.TU105.Inp!$D13="","NULL",PC.TU105.Inp!$D13))</f>
        <v>108</v>
      </c>
      <c r="H13" s="6">
        <f>IF(COUNTIF(PC.TU105.Inp!$C13:$L13,"")=10,"",IF(PC.TU105.Inp!$E13="","NULL",PC.TU105.Inp!$E13))</f>
        <v>72</v>
      </c>
      <c r="I13" s="6">
        <f>IF(COUNTIF(PC.TU105.Inp!$C13:$L13,"")=10,"",IF(PC.TU105.Inp!$F13="","NULL",PC.TU105.Inp!$F13))</f>
        <v>72</v>
      </c>
      <c r="J13" s="6" t="str">
        <f>IF(COUNTIF(PC.TU105.Inp!$C13:$L13,"")=10,"",IF(PC.TU105.Inp!$G13="","NULL",""""&amp;PC.TU105.Inp!$G13&amp;""""))</f>
        <v>"?"</v>
      </c>
      <c r="K13" s="6" t="str">
        <f>IF(COUNTIF(PC.TU105.Inp!$C13:$L13,"")=10,"",IF(PC.TU105.Inp!$H13="","NULL",""""&amp;PC.TU105.Inp!$H13&amp;""""))</f>
        <v>"*"</v>
      </c>
      <c r="L13" s="6" t="str">
        <f>IF(COUNTIF(PC.TU105.Inp!$C13:$L13,"")=10,"",IF(PC.TU105.Inp!$I13="","NULL",""""&amp;PC.TU105.Inp!$I13&amp;""""))</f>
        <v>NULL</v>
      </c>
      <c r="M13" s="8" t="str">
        <f>IF(COUNTIF(PC.TU105.Inp!$C13:$L13,"")=10,"",IF(PC.TU105.Inp!$J13="","NULL",""""&amp;PC.TU105.Inp!$J13&amp;""""))</f>
        <v>"\\"</v>
      </c>
      <c r="N13" s="6">
        <f>IF(COUNTIF(PC.TU105.Inp!$C13:$L13,"")=10,"",IF(PC.TU105.Inp!$K13="","NULL",PC.TU105.Inp!$K13))</f>
        <v>0</v>
      </c>
      <c r="O13" s="6">
        <f>IF(COUNTIF(PC.TU105.Inp!$C13:$L13,"")=10,"",IF(PC.TU105.Inp!$L13="","NULL",PC.TU105.Inp!$L13))</f>
        <v>0</v>
      </c>
      <c r="P13" s="7" t="e">
        <f ca="1">IF(COUNTIF(PC.TU105.Inp!$C13:$L13,"")=10,"","("&amp;_xlfn.TEXTJOIN(",",FALSE,$C13:$O13)&amp;"),")</f>
        <v>#NAME?</v>
      </c>
    </row>
    <row r="14" spans="1:16" x14ac:dyDescent="0.3">
      <c r="A14" s="1" t="s">
        <v>114</v>
      </c>
      <c r="B14" s="1">
        <f t="shared" si="0"/>
        <v>13</v>
      </c>
      <c r="C14" s="6" t="str">
        <f>IF(COUNTIF(PC.TU105.Inp!$C14:$L14,"")=10,"","NULL")</f>
        <v>NULL</v>
      </c>
      <c r="D14" s="6" t="str">
        <f>IF(COUNTIF(PC.TU105.Inp!$C14:$L14,"")=10,"","NULL")</f>
        <v>NULL</v>
      </c>
      <c r="E14" s="6">
        <f>IF(COUNTIF(PC.TU105.Inp!$C14:$L14,"")=10,"",$B14)</f>
        <v>13</v>
      </c>
      <c r="F14" s="6">
        <f>IF(COUNTIF(PC.TU105.Inp!$C14:$L14,"")=10,"",IF(PC.TU105.Inp!$C14="","NULL",PC.TU105.Inp!$C14))</f>
        <v>864</v>
      </c>
      <c r="G14" s="6">
        <f>IF(COUNTIF(PC.TU105.Inp!$C14:$L14,"")=10,"",IF(PC.TU105.Inp!$D14="","NULL",PC.TU105.Inp!$D14))</f>
        <v>108</v>
      </c>
      <c r="H14" s="6">
        <f>IF(COUNTIF(PC.TU105.Inp!$C14:$L14,"")=10,"",IF(PC.TU105.Inp!$E14="","NULL",PC.TU105.Inp!$E14))</f>
        <v>72</v>
      </c>
      <c r="I14" s="6">
        <f>IF(COUNTIF(PC.TU105.Inp!$C14:$L14,"")=10,"",IF(PC.TU105.Inp!$F14="","NULL",PC.TU105.Inp!$F14))</f>
        <v>72</v>
      </c>
      <c r="J14" s="6" t="str">
        <f>IF(COUNTIF(PC.TU105.Inp!$C14:$L14,"")=10,"",IF(PC.TU105.Inp!$G14="","NULL",""""&amp;PC.TU105.Inp!$G14&amp;""""))</f>
        <v>"_"</v>
      </c>
      <c r="K14" s="6" t="str">
        <f>IF(COUNTIF(PC.TU105.Inp!$C14:$L14,"")=10,"",IF(PC.TU105.Inp!$H14="","NULL",""""&amp;PC.TU105.Inp!$H14&amp;""""))</f>
        <v>"-"</v>
      </c>
      <c r="L14" s="6" t="str">
        <f>IF(COUNTIF(PC.TU105.Inp!$C14:$L14,"")=10,"",IF(PC.TU105.Inp!$I14="","NULL",""""&amp;PC.TU105.Inp!$I14&amp;""""))</f>
        <v>NULL</v>
      </c>
      <c r="M14" s="6" t="str">
        <f>IF(COUNTIF(PC.TU105.Inp!$C14:$L14,"")=10,"",IF(PC.TU105.Inp!$J14="","NULL",""""&amp;PC.TU105.Inp!$J14&amp;""""))</f>
        <v>"|"</v>
      </c>
      <c r="N14" s="6">
        <f>IF(COUNTIF(PC.TU105.Inp!$C14:$L14,"")=10,"",IF(PC.TU105.Inp!$K14="","NULL",PC.TU105.Inp!$K14))</f>
        <v>0</v>
      </c>
      <c r="O14" s="6">
        <f>IF(COUNTIF(PC.TU105.Inp!$C14:$L14,"")=10,"",IF(PC.TU105.Inp!$L14="","NULL",PC.TU105.Inp!$L14))</f>
        <v>0</v>
      </c>
      <c r="P14" s="7" t="e">
        <f ca="1">IF(COUNTIF(PC.TU105.Inp!$C14:$L14,"")=10,"","("&amp;_xlfn.TEXTJOIN(",",FALSE,$C14:$O14)&amp;"),")</f>
        <v>#NAME?</v>
      </c>
    </row>
    <row r="15" spans="1:16" x14ac:dyDescent="0.3">
      <c r="A15" s="1" t="s">
        <v>163</v>
      </c>
      <c r="B15" s="1">
        <f t="shared" si="0"/>
        <v>14</v>
      </c>
      <c r="C15" s="6" t="str">
        <f>IF(COUNTIF(PC.TU105.Inp!$C15:$L15,"")=10,"","NULL")</f>
        <v>NULL</v>
      </c>
      <c r="D15" s="6" t="str">
        <f>IF(COUNTIF(PC.TU105.Inp!$C15:$L15,"")=10,"","NULL")</f>
        <v>NULL</v>
      </c>
      <c r="E15" s="6">
        <f>IF(COUNTIF(PC.TU105.Inp!$C15:$L15,"")=10,"",$B15)</f>
        <v>14</v>
      </c>
      <c r="F15" s="6">
        <f>IF(COUNTIF(PC.TU105.Inp!$C15:$L15,"")=10,"",IF(PC.TU105.Inp!$C15="","NULL",PC.TU105.Inp!$C15))</f>
        <v>936</v>
      </c>
      <c r="G15" s="6">
        <f>IF(COUNTIF(PC.TU105.Inp!$C15:$L15,"")=10,"",IF(PC.TU105.Inp!$D15="","NULL",PC.TU105.Inp!$D15))</f>
        <v>108</v>
      </c>
      <c r="H15" s="6">
        <f>IF(COUNTIF(PC.TU105.Inp!$C15:$L15,"")=10,"",IF(PC.TU105.Inp!$E15="","NULL",PC.TU105.Inp!$E15))</f>
        <v>144</v>
      </c>
      <c r="I15" s="6">
        <f>IF(COUNTIF(PC.TU105.Inp!$C15:$L15,"")=10,"",IF(PC.TU105.Inp!$F15="","NULL",PC.TU105.Inp!$F15))</f>
        <v>72</v>
      </c>
      <c r="J15" s="6" t="str">
        <f>IF(COUNTIF(PC.TU105.Inp!$C15:$L15,"")=10,"",IF(PC.TU105.Inp!$G15="","NULL",""""&amp;PC.TU105.Inp!$G15&amp;""""))</f>
        <v>NULL</v>
      </c>
      <c r="K15" s="6" t="str">
        <f>IF(COUNTIF(PC.TU105.Inp!$C15:$L15,"")=10,"",IF(PC.TU105.Inp!$H15="","NULL",""""&amp;PC.TU105.Inp!$H15&amp;""""))</f>
        <v>"Backspace"</v>
      </c>
      <c r="L15" s="6" t="str">
        <f>IF(COUNTIF(PC.TU105.Inp!$C15:$L15,"")=10,"",IF(PC.TU105.Inp!$I15="","NULL",""""&amp;PC.TU105.Inp!$I15&amp;""""))</f>
        <v>NULL</v>
      </c>
      <c r="M15" s="6" t="str">
        <f>IF(COUNTIF(PC.TU105.Inp!$C15:$L15,"")=10,"",IF(PC.TU105.Inp!$J15="","NULL",""""&amp;PC.TU105.Inp!$J15&amp;""""))</f>
        <v>NULL</v>
      </c>
      <c r="N15" s="6">
        <f>IF(COUNTIF(PC.TU105.Inp!$C15:$L15,"")=10,"",IF(PC.TU105.Inp!$K15="","NULL",PC.TU105.Inp!$K15))</f>
        <v>0</v>
      </c>
      <c r="O15" s="6">
        <f>IF(COUNTIF(PC.TU105.Inp!$C15:$L15,"")=10,"",IF(PC.TU105.Inp!$L15="","NULL",PC.TU105.Inp!$L15))</f>
        <v>0</v>
      </c>
      <c r="P15" s="7" t="e">
        <f ca="1">IF(COUNTIF(PC.TU105.Inp!$C15:$L15,"")=10,"","("&amp;_xlfn.TEXTJOIN(",",FALSE,$C15:$O15)&amp;"),")</f>
        <v>#NAME?</v>
      </c>
    </row>
    <row r="16" spans="1:16" x14ac:dyDescent="0.3">
      <c r="A16" s="1" t="s">
        <v>164</v>
      </c>
      <c r="B16" s="1">
        <f t="shared" si="0"/>
        <v>15</v>
      </c>
      <c r="C16" s="6" t="str">
        <f>IF(COUNTIF(PC.TU105.Inp!$C16:$L16,"")=10,"","NULL")</f>
        <v>NULL</v>
      </c>
      <c r="D16" s="6" t="str">
        <f>IF(COUNTIF(PC.TU105.Inp!$C16:$L16,"")=10,"","NULL")</f>
        <v>NULL</v>
      </c>
      <c r="E16" s="6">
        <f>IF(COUNTIF(PC.TU105.Inp!$C16:$L16,"")=10,"",$B16)</f>
        <v>15</v>
      </c>
      <c r="F16" s="6">
        <f>IF(COUNTIF(PC.TU105.Inp!$C16:$L16,"")=10,"",IF(PC.TU105.Inp!$C16="","NULL",PC.TU105.Inp!$C16))</f>
        <v>0</v>
      </c>
      <c r="G16" s="6">
        <f>IF(COUNTIF(PC.TU105.Inp!$C16:$L16,"")=10,"",IF(PC.TU105.Inp!$D16="","NULL",PC.TU105.Inp!$D16))</f>
        <v>180</v>
      </c>
      <c r="H16" s="6">
        <f>IF(COUNTIF(PC.TU105.Inp!$C16:$L16,"")=10,"",IF(PC.TU105.Inp!$E16="","NULL",PC.TU105.Inp!$E16))</f>
        <v>108</v>
      </c>
      <c r="I16" s="6">
        <f>IF(COUNTIF(PC.TU105.Inp!$C16:$L16,"")=10,"",IF(PC.TU105.Inp!$F16="","NULL",PC.TU105.Inp!$F16))</f>
        <v>72</v>
      </c>
      <c r="J16" s="6" t="str">
        <f>IF(COUNTIF(PC.TU105.Inp!$C16:$L16,"")=10,"",IF(PC.TU105.Inp!$G16="","NULL",""""&amp;PC.TU105.Inp!$G16&amp;""""))</f>
        <v>NULL</v>
      </c>
      <c r="K16" s="6" t="str">
        <f>IF(COUNTIF(PC.TU105.Inp!$C16:$L16,"")=10,"",IF(PC.TU105.Inp!$H16="","NULL",""""&amp;PC.TU105.Inp!$H16&amp;""""))</f>
        <v>"Tab"</v>
      </c>
      <c r="L16" s="6" t="str">
        <f>IF(COUNTIF(PC.TU105.Inp!$C16:$L16,"")=10,"",IF(PC.TU105.Inp!$I16="","NULL",""""&amp;PC.TU105.Inp!$I16&amp;""""))</f>
        <v>NULL</v>
      </c>
      <c r="M16" s="6" t="str">
        <f>IF(COUNTIF(PC.TU105.Inp!$C16:$L16,"")=10,"",IF(PC.TU105.Inp!$J16="","NULL",""""&amp;PC.TU105.Inp!$J16&amp;""""))</f>
        <v>NULL</v>
      </c>
      <c r="N16" s="6">
        <f>IF(COUNTIF(PC.TU105.Inp!$C16:$L16,"")=10,"",IF(PC.TU105.Inp!$K16="","NULL",PC.TU105.Inp!$K16))</f>
        <v>0</v>
      </c>
      <c r="O16" s="6">
        <f>IF(COUNTIF(PC.TU105.Inp!$C16:$L16,"")=10,"",IF(PC.TU105.Inp!$L16="","NULL",PC.TU105.Inp!$L16))</f>
        <v>0</v>
      </c>
      <c r="P16" s="7" t="e">
        <f ca="1">IF(COUNTIF(PC.TU105.Inp!$C16:$L16,"")=10,"","("&amp;_xlfn.TEXTJOIN(",",FALSE,$C16:$O16)&amp;"),")</f>
        <v>#NAME?</v>
      </c>
    </row>
    <row r="17" spans="1:16" x14ac:dyDescent="0.3">
      <c r="A17" s="1" t="s">
        <v>39</v>
      </c>
      <c r="B17" s="1">
        <f t="shared" si="0"/>
        <v>16</v>
      </c>
      <c r="C17" s="6" t="str">
        <f>IF(COUNTIF(PC.TU105.Inp!$C17:$L17,"")=10,"","NULL")</f>
        <v>NULL</v>
      </c>
      <c r="D17" s="6" t="str">
        <f>IF(COUNTIF(PC.TU105.Inp!$C17:$L17,"")=10,"","NULL")</f>
        <v>NULL</v>
      </c>
      <c r="E17" s="6">
        <f>IF(COUNTIF(PC.TU105.Inp!$C17:$L17,"")=10,"",$B17)</f>
        <v>16</v>
      </c>
      <c r="F17" s="6">
        <f>IF(COUNTIF(PC.TU105.Inp!$C17:$L17,"")=10,"",IF(PC.TU105.Inp!$C17="","NULL",PC.TU105.Inp!$C17))</f>
        <v>108</v>
      </c>
      <c r="G17" s="6">
        <f>IF(COUNTIF(PC.TU105.Inp!$C17:$L17,"")=10,"",IF(PC.TU105.Inp!$D17="","NULL",PC.TU105.Inp!$D17))</f>
        <v>180</v>
      </c>
      <c r="H17" s="6">
        <f>IF(COUNTIF(PC.TU105.Inp!$C17:$L17,"")=10,"",IF(PC.TU105.Inp!$E17="","NULL",PC.TU105.Inp!$E17))</f>
        <v>72</v>
      </c>
      <c r="I17" s="6">
        <f>IF(COUNTIF(PC.TU105.Inp!$C17:$L17,"")=10,"",IF(PC.TU105.Inp!$F17="","NULL",PC.TU105.Inp!$F17))</f>
        <v>72</v>
      </c>
      <c r="J17" s="6" t="str">
        <f>IF(COUNTIF(PC.TU105.Inp!$C17:$L17,"")=10,"",IF(PC.TU105.Inp!$G17="","NULL",""""&amp;PC.TU105.Inp!$G17&amp;""""))</f>
        <v>"Q"</v>
      </c>
      <c r="K17" s="6" t="str">
        <f>IF(COUNTIF(PC.TU105.Inp!$C17:$L17,"")=10,"",IF(PC.TU105.Inp!$H17="","NULL",""""&amp;PC.TU105.Inp!$H17&amp;""""))</f>
        <v>"q"</v>
      </c>
      <c r="L17" s="6" t="str">
        <f>IF(COUNTIF(PC.TU105.Inp!$C17:$L17,"")=10,"",IF(PC.TU105.Inp!$I17="","NULL",""""&amp;PC.TU105.Inp!$I17&amp;""""))</f>
        <v>NULL</v>
      </c>
      <c r="M17" s="6" t="str">
        <f>IF(COUNTIF(PC.TU105.Inp!$C17:$L17,"")=10,"",IF(PC.TU105.Inp!$J17="","NULL",""""&amp;PC.TU105.Inp!$J17&amp;""""))</f>
        <v>"@"</v>
      </c>
      <c r="N17" s="6">
        <f>IF(COUNTIF(PC.TU105.Inp!$C17:$L17,"")=10,"",IF(PC.TU105.Inp!$K17="","NULL",PC.TU105.Inp!$K17))</f>
        <v>1</v>
      </c>
      <c r="O17" s="6">
        <f>IF(COUNTIF(PC.TU105.Inp!$C17:$L17,"")=10,"",IF(PC.TU105.Inp!$L17="","NULL",PC.TU105.Inp!$L17))</f>
        <v>0</v>
      </c>
      <c r="P17" s="7" t="e">
        <f ca="1">IF(COUNTIF(PC.TU105.Inp!$C17:$L17,"")=10,"","("&amp;_xlfn.TEXTJOIN(",",FALSE,$C17:$O17)&amp;"),")</f>
        <v>#NAME?</v>
      </c>
    </row>
    <row r="18" spans="1:16" x14ac:dyDescent="0.3">
      <c r="A18" s="1" t="s">
        <v>42</v>
      </c>
      <c r="B18" s="1">
        <f t="shared" si="0"/>
        <v>17</v>
      </c>
      <c r="C18" s="6" t="str">
        <f>IF(COUNTIF(PC.TU105.Inp!$C18:$L18,"")=10,"","NULL")</f>
        <v>NULL</v>
      </c>
      <c r="D18" s="6" t="str">
        <f>IF(COUNTIF(PC.TU105.Inp!$C18:$L18,"")=10,"","NULL")</f>
        <v>NULL</v>
      </c>
      <c r="E18" s="6">
        <f>IF(COUNTIF(PC.TU105.Inp!$C18:$L18,"")=10,"",$B18)</f>
        <v>17</v>
      </c>
      <c r="F18" s="6">
        <f>IF(COUNTIF(PC.TU105.Inp!$C18:$L18,"")=10,"",IF(PC.TU105.Inp!$C18="","NULL",PC.TU105.Inp!$C18))</f>
        <v>180</v>
      </c>
      <c r="G18" s="6">
        <f>IF(COUNTIF(PC.TU105.Inp!$C18:$L18,"")=10,"",IF(PC.TU105.Inp!$D18="","NULL",PC.TU105.Inp!$D18))</f>
        <v>180</v>
      </c>
      <c r="H18" s="6">
        <f>IF(COUNTIF(PC.TU105.Inp!$C18:$L18,"")=10,"",IF(PC.TU105.Inp!$E18="","NULL",PC.TU105.Inp!$E18))</f>
        <v>72</v>
      </c>
      <c r="I18" s="6">
        <f>IF(COUNTIF(PC.TU105.Inp!$C18:$L18,"")=10,"",IF(PC.TU105.Inp!$F18="","NULL",PC.TU105.Inp!$F18))</f>
        <v>72</v>
      </c>
      <c r="J18" s="6" t="str">
        <f>IF(COUNTIF(PC.TU105.Inp!$C18:$L18,"")=10,"",IF(PC.TU105.Inp!$G18="","NULL",""""&amp;PC.TU105.Inp!$G18&amp;""""))</f>
        <v>"W"</v>
      </c>
      <c r="K18" s="6" t="str">
        <f>IF(COUNTIF(PC.TU105.Inp!$C18:$L18,"")=10,"",IF(PC.TU105.Inp!$H18="","NULL",""""&amp;PC.TU105.Inp!$H18&amp;""""))</f>
        <v>"w"</v>
      </c>
      <c r="L18" s="6" t="str">
        <f>IF(COUNTIF(PC.TU105.Inp!$C18:$L18,"")=10,"",IF(PC.TU105.Inp!$I18="","NULL",""""&amp;PC.TU105.Inp!$I18&amp;""""))</f>
        <v>NULL</v>
      </c>
      <c r="M18" s="6" t="str">
        <f>IF(COUNTIF(PC.TU105.Inp!$C18:$L18,"")=10,"",IF(PC.TU105.Inp!$J18="","NULL",""""&amp;PC.TU105.Inp!$J18&amp;""""))</f>
        <v>NULL</v>
      </c>
      <c r="N18" s="6">
        <f>IF(COUNTIF(PC.TU105.Inp!$C18:$L18,"")=10,"",IF(PC.TU105.Inp!$K18="","NULL",PC.TU105.Inp!$K18))</f>
        <v>1</v>
      </c>
      <c r="O18" s="6">
        <f>IF(COUNTIF(PC.TU105.Inp!$C18:$L18,"")=10,"",IF(PC.TU105.Inp!$L18="","NULL",PC.TU105.Inp!$L18))</f>
        <v>0</v>
      </c>
      <c r="P18" s="7" t="e">
        <f ca="1">IF(COUNTIF(PC.TU105.Inp!$C18:$L18,"")=10,"","("&amp;_xlfn.TEXTJOIN(",",FALSE,$C18:$O18)&amp;"),")</f>
        <v>#NAME?</v>
      </c>
    </row>
    <row r="19" spans="1:16" x14ac:dyDescent="0.3">
      <c r="A19" s="1" t="s">
        <v>44</v>
      </c>
      <c r="B19" s="1">
        <f t="shared" si="0"/>
        <v>18</v>
      </c>
      <c r="C19" s="6" t="str">
        <f>IF(COUNTIF(PC.TU105.Inp!$C19:$L19,"")=10,"","NULL")</f>
        <v>NULL</v>
      </c>
      <c r="D19" s="6" t="str">
        <f>IF(COUNTIF(PC.TU105.Inp!$C19:$L19,"")=10,"","NULL")</f>
        <v>NULL</v>
      </c>
      <c r="E19" s="6">
        <f>IF(COUNTIF(PC.TU105.Inp!$C19:$L19,"")=10,"",$B19)</f>
        <v>18</v>
      </c>
      <c r="F19" s="6">
        <f>IF(COUNTIF(PC.TU105.Inp!$C19:$L19,"")=10,"",IF(PC.TU105.Inp!$C19="","NULL",PC.TU105.Inp!$C19))</f>
        <v>252</v>
      </c>
      <c r="G19" s="6">
        <f>IF(COUNTIF(PC.TU105.Inp!$C19:$L19,"")=10,"",IF(PC.TU105.Inp!$D19="","NULL",PC.TU105.Inp!$D19))</f>
        <v>180</v>
      </c>
      <c r="H19" s="6">
        <f>IF(COUNTIF(PC.TU105.Inp!$C19:$L19,"")=10,"",IF(PC.TU105.Inp!$E19="","NULL",PC.TU105.Inp!$E19))</f>
        <v>72</v>
      </c>
      <c r="I19" s="6">
        <f>IF(COUNTIF(PC.TU105.Inp!$C19:$L19,"")=10,"",IF(PC.TU105.Inp!$F19="","NULL",PC.TU105.Inp!$F19))</f>
        <v>72</v>
      </c>
      <c r="J19" s="6" t="str">
        <f>IF(COUNTIF(PC.TU105.Inp!$C19:$L19,"")=10,"",IF(PC.TU105.Inp!$G19="","NULL",""""&amp;PC.TU105.Inp!$G19&amp;""""))</f>
        <v>"E"</v>
      </c>
      <c r="K19" s="6" t="str">
        <f>IF(COUNTIF(PC.TU105.Inp!$C19:$L19,"")=10,"",IF(PC.TU105.Inp!$H19="","NULL",""""&amp;PC.TU105.Inp!$H19&amp;""""))</f>
        <v>"e"</v>
      </c>
      <c r="L19" s="6" t="str">
        <f>IF(COUNTIF(PC.TU105.Inp!$C19:$L19,"")=10,"",IF(PC.TU105.Inp!$I19="","NULL",""""&amp;PC.TU105.Inp!$I19&amp;""""))</f>
        <v>NULL</v>
      </c>
      <c r="M19" s="6" t="str">
        <f>IF(COUNTIF(PC.TU105.Inp!$C19:$L19,"")=10,"",IF(PC.TU105.Inp!$J19="","NULL",""""&amp;PC.TU105.Inp!$J19&amp;""""))</f>
        <v>"€"</v>
      </c>
      <c r="N19" s="6">
        <f>IF(COUNTIF(PC.TU105.Inp!$C19:$L19,"")=10,"",IF(PC.TU105.Inp!$K19="","NULL",PC.TU105.Inp!$K19))</f>
        <v>1</v>
      </c>
      <c r="O19" s="6">
        <f>IF(COUNTIF(PC.TU105.Inp!$C19:$L19,"")=10,"",IF(PC.TU105.Inp!$L19="","NULL",PC.TU105.Inp!$L19))</f>
        <v>0</v>
      </c>
      <c r="P19" s="7" t="e">
        <f ca="1">IF(COUNTIF(PC.TU105.Inp!$C19:$L19,"")=10,"","("&amp;_xlfn.TEXTJOIN(",",FALSE,$C19:$O19)&amp;"),")</f>
        <v>#NAME?</v>
      </c>
    </row>
    <row r="20" spans="1:16" x14ac:dyDescent="0.3">
      <c r="A20" s="1" t="s">
        <v>47</v>
      </c>
      <c r="B20" s="1">
        <f t="shared" si="0"/>
        <v>19</v>
      </c>
      <c r="C20" s="6" t="str">
        <f>IF(COUNTIF(PC.TU105.Inp!$C20:$L20,"")=10,"","NULL")</f>
        <v>NULL</v>
      </c>
      <c r="D20" s="6" t="str">
        <f>IF(COUNTIF(PC.TU105.Inp!$C20:$L20,"")=10,"","NULL")</f>
        <v>NULL</v>
      </c>
      <c r="E20" s="6">
        <f>IF(COUNTIF(PC.TU105.Inp!$C20:$L20,"")=10,"",$B20)</f>
        <v>19</v>
      </c>
      <c r="F20" s="6">
        <f>IF(COUNTIF(PC.TU105.Inp!$C20:$L20,"")=10,"",IF(PC.TU105.Inp!$C20="","NULL",PC.TU105.Inp!$C20))</f>
        <v>324</v>
      </c>
      <c r="G20" s="6">
        <f>IF(COUNTIF(PC.TU105.Inp!$C20:$L20,"")=10,"",IF(PC.TU105.Inp!$D20="","NULL",PC.TU105.Inp!$D20))</f>
        <v>180</v>
      </c>
      <c r="H20" s="6">
        <f>IF(COUNTIF(PC.TU105.Inp!$C20:$L20,"")=10,"",IF(PC.TU105.Inp!$E20="","NULL",PC.TU105.Inp!$E20))</f>
        <v>72</v>
      </c>
      <c r="I20" s="6">
        <f>IF(COUNTIF(PC.TU105.Inp!$C20:$L20,"")=10,"",IF(PC.TU105.Inp!$F20="","NULL",PC.TU105.Inp!$F20))</f>
        <v>72</v>
      </c>
      <c r="J20" s="6" t="str">
        <f>IF(COUNTIF(PC.TU105.Inp!$C20:$L20,"")=10,"",IF(PC.TU105.Inp!$G20="","NULL",""""&amp;PC.TU105.Inp!$G20&amp;""""))</f>
        <v>"R"</v>
      </c>
      <c r="K20" s="6" t="str">
        <f>IF(COUNTIF(PC.TU105.Inp!$C20:$L20,"")=10,"",IF(PC.TU105.Inp!$H20="","NULL",""""&amp;PC.TU105.Inp!$H20&amp;""""))</f>
        <v>"r"</v>
      </c>
      <c r="L20" s="6" t="str">
        <f>IF(COUNTIF(PC.TU105.Inp!$C20:$L20,"")=10,"",IF(PC.TU105.Inp!$I20="","NULL",""""&amp;PC.TU105.Inp!$I20&amp;""""))</f>
        <v>NULL</v>
      </c>
      <c r="M20" s="6" t="str">
        <f>IF(COUNTIF(PC.TU105.Inp!$C20:$L20,"")=10,"",IF(PC.TU105.Inp!$J20="","NULL",""""&amp;PC.TU105.Inp!$J20&amp;""""))</f>
        <v>NULL</v>
      </c>
      <c r="N20" s="6">
        <f>IF(COUNTIF(PC.TU105.Inp!$C20:$L20,"")=10,"",IF(PC.TU105.Inp!$K20="","NULL",PC.TU105.Inp!$K20))</f>
        <v>1</v>
      </c>
      <c r="O20" s="6">
        <f>IF(COUNTIF(PC.TU105.Inp!$C20:$L20,"")=10,"",IF(PC.TU105.Inp!$L20="","NULL",PC.TU105.Inp!$L20))</f>
        <v>0</v>
      </c>
      <c r="P20" s="7" t="e">
        <f ca="1">IF(COUNTIF(PC.TU105.Inp!$C20:$L20,"")=10,"","("&amp;_xlfn.TEXTJOIN(",",FALSE,$C20:$O20)&amp;"),")</f>
        <v>#NAME?</v>
      </c>
    </row>
    <row r="21" spans="1:16" x14ac:dyDescent="0.3">
      <c r="A21" s="1" t="s">
        <v>49</v>
      </c>
      <c r="B21" s="1">
        <f t="shared" si="0"/>
        <v>20</v>
      </c>
      <c r="C21" s="6" t="str">
        <f>IF(COUNTIF(PC.TU105.Inp!$C21:$L21,"")=10,"","NULL")</f>
        <v>NULL</v>
      </c>
      <c r="D21" s="6" t="str">
        <f>IF(COUNTIF(PC.TU105.Inp!$C21:$L21,"")=10,"","NULL")</f>
        <v>NULL</v>
      </c>
      <c r="E21" s="6">
        <f>IF(COUNTIF(PC.TU105.Inp!$C21:$L21,"")=10,"",$B21)</f>
        <v>20</v>
      </c>
      <c r="F21" s="6">
        <f>IF(COUNTIF(PC.TU105.Inp!$C21:$L21,"")=10,"",IF(PC.TU105.Inp!$C21="","NULL",PC.TU105.Inp!$C21))</f>
        <v>396</v>
      </c>
      <c r="G21" s="6">
        <f>IF(COUNTIF(PC.TU105.Inp!$C21:$L21,"")=10,"",IF(PC.TU105.Inp!$D21="","NULL",PC.TU105.Inp!$D21))</f>
        <v>180</v>
      </c>
      <c r="H21" s="6">
        <f>IF(COUNTIF(PC.TU105.Inp!$C21:$L21,"")=10,"",IF(PC.TU105.Inp!$E21="","NULL",PC.TU105.Inp!$E21))</f>
        <v>72</v>
      </c>
      <c r="I21" s="6">
        <f>IF(COUNTIF(PC.TU105.Inp!$C21:$L21,"")=10,"",IF(PC.TU105.Inp!$F21="","NULL",PC.TU105.Inp!$F21))</f>
        <v>72</v>
      </c>
      <c r="J21" s="6" t="str">
        <f>IF(COUNTIF(PC.TU105.Inp!$C21:$L21,"")=10,"",IF(PC.TU105.Inp!$G21="","NULL",""""&amp;PC.TU105.Inp!$G21&amp;""""))</f>
        <v>"T"</v>
      </c>
      <c r="K21" s="6" t="str">
        <f>IF(COUNTIF(PC.TU105.Inp!$C21:$L21,"")=10,"",IF(PC.TU105.Inp!$H21="","NULL",""""&amp;PC.TU105.Inp!$H21&amp;""""))</f>
        <v>"t"</v>
      </c>
      <c r="L21" s="6" t="str">
        <f>IF(COUNTIF(PC.TU105.Inp!$C21:$L21,"")=10,"",IF(PC.TU105.Inp!$I21="","NULL",""""&amp;PC.TU105.Inp!$I21&amp;""""))</f>
        <v>NULL</v>
      </c>
      <c r="M21" s="6" t="str">
        <f>IF(COUNTIF(PC.TU105.Inp!$C21:$L21,"")=10,"",IF(PC.TU105.Inp!$J21="","NULL",""""&amp;PC.TU105.Inp!$J21&amp;""""))</f>
        <v>"₺"</v>
      </c>
      <c r="N21" s="6">
        <f>IF(COUNTIF(PC.TU105.Inp!$C21:$L21,"")=10,"",IF(PC.TU105.Inp!$K21="","NULL",PC.TU105.Inp!$K21))</f>
        <v>1</v>
      </c>
      <c r="O21" s="6">
        <f>IF(COUNTIF(PC.TU105.Inp!$C21:$L21,"")=10,"",IF(PC.TU105.Inp!$L21="","NULL",PC.TU105.Inp!$L21))</f>
        <v>0</v>
      </c>
      <c r="P21" s="7" t="e">
        <f ca="1">IF(COUNTIF(PC.TU105.Inp!$C21:$L21,"")=10,"","("&amp;_xlfn.TEXTJOIN(",",FALSE,$C21:$O21)&amp;"),")</f>
        <v>#NAME?</v>
      </c>
    </row>
    <row r="22" spans="1:16" x14ac:dyDescent="0.3">
      <c r="A22" s="1" t="s">
        <v>51</v>
      </c>
      <c r="B22" s="1">
        <f t="shared" si="0"/>
        <v>21</v>
      </c>
      <c r="C22" s="6" t="str">
        <f>IF(COUNTIF(PC.TU105.Inp!$C22:$L22,"")=10,"","NULL")</f>
        <v>NULL</v>
      </c>
      <c r="D22" s="6" t="str">
        <f>IF(COUNTIF(PC.TU105.Inp!$C22:$L22,"")=10,"","NULL")</f>
        <v>NULL</v>
      </c>
      <c r="E22" s="6">
        <f>IF(COUNTIF(PC.TU105.Inp!$C22:$L22,"")=10,"",$B22)</f>
        <v>21</v>
      </c>
      <c r="F22" s="6">
        <f>IF(COUNTIF(PC.TU105.Inp!$C22:$L22,"")=10,"",IF(PC.TU105.Inp!$C22="","NULL",PC.TU105.Inp!$C22))</f>
        <v>468</v>
      </c>
      <c r="G22" s="6">
        <f>IF(COUNTIF(PC.TU105.Inp!$C22:$L22,"")=10,"",IF(PC.TU105.Inp!$D22="","NULL",PC.TU105.Inp!$D22))</f>
        <v>180</v>
      </c>
      <c r="H22" s="6">
        <f>IF(COUNTIF(PC.TU105.Inp!$C22:$L22,"")=10,"",IF(PC.TU105.Inp!$E22="","NULL",PC.TU105.Inp!$E22))</f>
        <v>72</v>
      </c>
      <c r="I22" s="6">
        <f>IF(COUNTIF(PC.TU105.Inp!$C22:$L22,"")=10,"",IF(PC.TU105.Inp!$F22="","NULL",PC.TU105.Inp!$F22))</f>
        <v>72</v>
      </c>
      <c r="J22" s="6" t="str">
        <f>IF(COUNTIF(PC.TU105.Inp!$C22:$L22,"")=10,"",IF(PC.TU105.Inp!$G22="","NULL",""""&amp;PC.TU105.Inp!$G22&amp;""""))</f>
        <v>"Z"</v>
      </c>
      <c r="K22" s="6" t="str">
        <f>IF(COUNTIF(PC.TU105.Inp!$C22:$L22,"")=10,"",IF(PC.TU105.Inp!$H22="","NULL",""""&amp;PC.TU105.Inp!$H22&amp;""""))</f>
        <v>"z"</v>
      </c>
      <c r="L22" s="6" t="str">
        <f>IF(COUNTIF(PC.TU105.Inp!$C22:$L22,"")=10,"",IF(PC.TU105.Inp!$I22="","NULL",""""&amp;PC.TU105.Inp!$I22&amp;""""))</f>
        <v>NULL</v>
      </c>
      <c r="M22" s="6" t="str">
        <f>IF(COUNTIF(PC.TU105.Inp!$C22:$L22,"")=10,"",IF(PC.TU105.Inp!$J22="","NULL",""""&amp;PC.TU105.Inp!$J22&amp;""""))</f>
        <v>NULL</v>
      </c>
      <c r="N22" s="6">
        <f>IF(COUNTIF(PC.TU105.Inp!$C22:$L22,"")=10,"",IF(PC.TU105.Inp!$K22="","NULL",PC.TU105.Inp!$K22))</f>
        <v>1</v>
      </c>
      <c r="O22" s="6">
        <f>IF(COUNTIF(PC.TU105.Inp!$C22:$L22,"")=10,"",IF(PC.TU105.Inp!$L22="","NULL",PC.TU105.Inp!$L22))</f>
        <v>0</v>
      </c>
      <c r="P22" s="7" t="e">
        <f ca="1">IF(COUNTIF(PC.TU105.Inp!$C22:$L22,"")=10,"","("&amp;_xlfn.TEXTJOIN(",",FALSE,$C22:$O22)&amp;"),")</f>
        <v>#NAME?</v>
      </c>
    </row>
    <row r="23" spans="1:16" x14ac:dyDescent="0.3">
      <c r="A23" s="1" t="s">
        <v>53</v>
      </c>
      <c r="B23" s="1">
        <f t="shared" si="0"/>
        <v>22</v>
      </c>
      <c r="C23" s="6" t="str">
        <f>IF(COUNTIF(PC.TU105.Inp!$C23:$L23,"")=10,"","NULL")</f>
        <v>NULL</v>
      </c>
      <c r="D23" s="6" t="str">
        <f>IF(COUNTIF(PC.TU105.Inp!$C23:$L23,"")=10,"","NULL")</f>
        <v>NULL</v>
      </c>
      <c r="E23" s="6">
        <f>IF(COUNTIF(PC.TU105.Inp!$C23:$L23,"")=10,"",$B23)</f>
        <v>22</v>
      </c>
      <c r="F23" s="6">
        <f>IF(COUNTIF(PC.TU105.Inp!$C23:$L23,"")=10,"",IF(PC.TU105.Inp!$C23="","NULL",PC.TU105.Inp!$C23))</f>
        <v>540</v>
      </c>
      <c r="G23" s="6">
        <f>IF(COUNTIF(PC.TU105.Inp!$C23:$L23,"")=10,"",IF(PC.TU105.Inp!$D23="","NULL",PC.TU105.Inp!$D23))</f>
        <v>180</v>
      </c>
      <c r="H23" s="6">
        <f>IF(COUNTIF(PC.TU105.Inp!$C23:$L23,"")=10,"",IF(PC.TU105.Inp!$E23="","NULL",PC.TU105.Inp!$E23))</f>
        <v>72</v>
      </c>
      <c r="I23" s="6">
        <f>IF(COUNTIF(PC.TU105.Inp!$C23:$L23,"")=10,"",IF(PC.TU105.Inp!$F23="","NULL",PC.TU105.Inp!$F23))</f>
        <v>72</v>
      </c>
      <c r="J23" s="6" t="str">
        <f>IF(COUNTIF(PC.TU105.Inp!$C23:$L23,"")=10,"",IF(PC.TU105.Inp!$G23="","NULL",""""&amp;PC.TU105.Inp!$G23&amp;""""))</f>
        <v>"U"</v>
      </c>
      <c r="K23" s="6" t="str">
        <f>IF(COUNTIF(PC.TU105.Inp!$C23:$L23,"")=10,"",IF(PC.TU105.Inp!$H23="","NULL",""""&amp;PC.TU105.Inp!$H23&amp;""""))</f>
        <v>"u"</v>
      </c>
      <c r="L23" s="6" t="str">
        <f>IF(COUNTIF(PC.TU105.Inp!$C23:$L23,"")=10,"",IF(PC.TU105.Inp!$I23="","NULL",""""&amp;PC.TU105.Inp!$I23&amp;""""))</f>
        <v>NULL</v>
      </c>
      <c r="M23" s="6" t="str">
        <f>IF(COUNTIF(PC.TU105.Inp!$C23:$L23,"")=10,"",IF(PC.TU105.Inp!$J23="","NULL",""""&amp;PC.TU105.Inp!$J23&amp;""""))</f>
        <v>NULL</v>
      </c>
      <c r="N23" s="6">
        <f>IF(COUNTIF(PC.TU105.Inp!$C23:$L23,"")=10,"",IF(PC.TU105.Inp!$K23="","NULL",PC.TU105.Inp!$K23))</f>
        <v>1</v>
      </c>
      <c r="O23" s="6">
        <f>IF(COUNTIF(PC.TU105.Inp!$C23:$L23,"")=10,"",IF(PC.TU105.Inp!$L23="","NULL",PC.TU105.Inp!$L23))</f>
        <v>0</v>
      </c>
      <c r="P23" s="7" t="e">
        <f ca="1">IF(COUNTIF(PC.TU105.Inp!$C23:$L23,"")=10,"","("&amp;_xlfn.TEXTJOIN(",",FALSE,$C23:$O23)&amp;"),")</f>
        <v>#NAME?</v>
      </c>
    </row>
    <row r="24" spans="1:16" x14ac:dyDescent="0.3">
      <c r="A24" s="1" t="s">
        <v>184</v>
      </c>
      <c r="B24" s="1">
        <f t="shared" si="0"/>
        <v>23</v>
      </c>
      <c r="C24" s="6" t="str">
        <f>IF(COUNTIF(PC.TU105.Inp!$C24:$L24,"")=10,"","NULL")</f>
        <v>NULL</v>
      </c>
      <c r="D24" s="6" t="str">
        <f>IF(COUNTIF(PC.TU105.Inp!$C24:$L24,"")=10,"","NULL")</f>
        <v>NULL</v>
      </c>
      <c r="E24" s="6">
        <f>IF(COUNTIF(PC.TU105.Inp!$C24:$L24,"")=10,"",$B24)</f>
        <v>23</v>
      </c>
      <c r="F24" s="6">
        <f>IF(COUNTIF(PC.TU105.Inp!$C24:$L24,"")=10,"",IF(PC.TU105.Inp!$C24="","NULL",PC.TU105.Inp!$C24))</f>
        <v>612</v>
      </c>
      <c r="G24" s="6">
        <f>IF(COUNTIF(PC.TU105.Inp!$C24:$L24,"")=10,"",IF(PC.TU105.Inp!$D24="","NULL",PC.TU105.Inp!$D24))</f>
        <v>180</v>
      </c>
      <c r="H24" s="6">
        <f>IF(COUNTIF(PC.TU105.Inp!$C24:$L24,"")=10,"",IF(PC.TU105.Inp!$E24="","NULL",PC.TU105.Inp!$E24))</f>
        <v>72</v>
      </c>
      <c r="I24" s="6">
        <f>IF(COUNTIF(PC.TU105.Inp!$C24:$L24,"")=10,"",IF(PC.TU105.Inp!$F24="","NULL",PC.TU105.Inp!$F24))</f>
        <v>72</v>
      </c>
      <c r="J24" s="6" t="str">
        <f>IF(COUNTIF(PC.TU105.Inp!$C24:$L24,"")=10,"",IF(PC.TU105.Inp!$G24="","NULL",""""&amp;PC.TU105.Inp!$G24&amp;""""))</f>
        <v>"I"</v>
      </c>
      <c r="K24" s="6" t="str">
        <f>IF(COUNTIF(PC.TU105.Inp!$C24:$L24,"")=10,"",IF(PC.TU105.Inp!$H24="","NULL",""""&amp;PC.TU105.Inp!$H24&amp;""""))</f>
        <v>"ı"</v>
      </c>
      <c r="L24" s="6" t="str">
        <f>IF(COUNTIF(PC.TU105.Inp!$C24:$L24,"")=10,"",IF(PC.TU105.Inp!$I24="","NULL",""""&amp;PC.TU105.Inp!$I24&amp;""""))</f>
        <v>NULL</v>
      </c>
      <c r="M24" s="6" t="str">
        <f>IF(COUNTIF(PC.TU105.Inp!$C24:$L24,"")=10,"",IF(PC.TU105.Inp!$J24="","NULL",""""&amp;PC.TU105.Inp!$J24&amp;""""))</f>
        <v>"i"</v>
      </c>
      <c r="N24" s="6">
        <f>IF(COUNTIF(PC.TU105.Inp!$C24:$L24,"")=10,"",IF(PC.TU105.Inp!$K24="","NULL",PC.TU105.Inp!$K24))</f>
        <v>1</v>
      </c>
      <c r="O24" s="6">
        <f>IF(COUNTIF(PC.TU105.Inp!$C24:$L24,"")=10,"",IF(PC.TU105.Inp!$L24="","NULL",PC.TU105.Inp!$L24))</f>
        <v>0</v>
      </c>
      <c r="P24" s="7" t="e">
        <f ca="1">IF(COUNTIF(PC.TU105.Inp!$C24:$L24,"")=10,"","("&amp;_xlfn.TEXTJOIN(",",FALSE,$C24:$O24)&amp;"),")</f>
        <v>#NAME?</v>
      </c>
    </row>
    <row r="25" spans="1:16" x14ac:dyDescent="0.3">
      <c r="A25" s="1" t="s">
        <v>57</v>
      </c>
      <c r="B25" s="1">
        <f t="shared" si="0"/>
        <v>24</v>
      </c>
      <c r="C25" s="6" t="str">
        <f>IF(COUNTIF(PC.TU105.Inp!$C25:$L25,"")=10,"","NULL")</f>
        <v>NULL</v>
      </c>
      <c r="D25" s="6" t="str">
        <f>IF(COUNTIF(PC.TU105.Inp!$C25:$L25,"")=10,"","NULL")</f>
        <v>NULL</v>
      </c>
      <c r="E25" s="6">
        <f>IF(COUNTIF(PC.TU105.Inp!$C25:$L25,"")=10,"",$B25)</f>
        <v>24</v>
      </c>
      <c r="F25" s="6">
        <f>IF(COUNTIF(PC.TU105.Inp!$C25:$L25,"")=10,"",IF(PC.TU105.Inp!$C25="","NULL",PC.TU105.Inp!$C25))</f>
        <v>684</v>
      </c>
      <c r="G25" s="6">
        <f>IF(COUNTIF(PC.TU105.Inp!$C25:$L25,"")=10,"",IF(PC.TU105.Inp!$D25="","NULL",PC.TU105.Inp!$D25))</f>
        <v>180</v>
      </c>
      <c r="H25" s="6">
        <f>IF(COUNTIF(PC.TU105.Inp!$C25:$L25,"")=10,"",IF(PC.TU105.Inp!$E25="","NULL",PC.TU105.Inp!$E25))</f>
        <v>72</v>
      </c>
      <c r="I25" s="6">
        <f>IF(COUNTIF(PC.TU105.Inp!$C25:$L25,"")=10,"",IF(PC.TU105.Inp!$F25="","NULL",PC.TU105.Inp!$F25))</f>
        <v>72</v>
      </c>
      <c r="J25" s="6" t="str">
        <f>IF(COUNTIF(PC.TU105.Inp!$C25:$L25,"")=10,"",IF(PC.TU105.Inp!$G25="","NULL",""""&amp;PC.TU105.Inp!$G25&amp;""""))</f>
        <v>"O"</v>
      </c>
      <c r="K25" s="6" t="str">
        <f>IF(COUNTIF(PC.TU105.Inp!$C25:$L25,"")=10,"",IF(PC.TU105.Inp!$H25="","NULL",""""&amp;PC.TU105.Inp!$H25&amp;""""))</f>
        <v>"o"</v>
      </c>
      <c r="L25" s="6" t="str">
        <f>IF(COUNTIF(PC.TU105.Inp!$C25:$L25,"")=10,"",IF(PC.TU105.Inp!$I25="","NULL",""""&amp;PC.TU105.Inp!$I25&amp;""""))</f>
        <v>NULL</v>
      </c>
      <c r="M25" s="6" t="str">
        <f>IF(COUNTIF(PC.TU105.Inp!$C25:$L25,"")=10,"",IF(PC.TU105.Inp!$J25="","NULL",""""&amp;PC.TU105.Inp!$J25&amp;""""))</f>
        <v>NULL</v>
      </c>
      <c r="N25" s="6">
        <f>IF(COUNTIF(PC.TU105.Inp!$C25:$L25,"")=10,"",IF(PC.TU105.Inp!$K25="","NULL",PC.TU105.Inp!$K25))</f>
        <v>1</v>
      </c>
      <c r="O25" s="6">
        <f>IF(COUNTIF(PC.TU105.Inp!$C25:$L25,"")=10,"",IF(PC.TU105.Inp!$L25="","NULL",PC.TU105.Inp!$L25))</f>
        <v>0</v>
      </c>
      <c r="P25" s="7" t="e">
        <f ca="1">IF(COUNTIF(PC.TU105.Inp!$C25:$L25,"")=10,"","("&amp;_xlfn.TEXTJOIN(",",FALSE,$C25:$O25)&amp;"),")</f>
        <v>#NAME?</v>
      </c>
    </row>
    <row r="26" spans="1:16" x14ac:dyDescent="0.3">
      <c r="A26" s="1" t="s">
        <v>59</v>
      </c>
      <c r="B26" s="1">
        <f t="shared" si="0"/>
        <v>25</v>
      </c>
      <c r="C26" s="6" t="str">
        <f>IF(COUNTIF(PC.TU105.Inp!$C26:$L26,"")=10,"","NULL")</f>
        <v>NULL</v>
      </c>
      <c r="D26" s="6" t="str">
        <f>IF(COUNTIF(PC.TU105.Inp!$C26:$L26,"")=10,"","NULL")</f>
        <v>NULL</v>
      </c>
      <c r="E26" s="6">
        <f>IF(COUNTIF(PC.TU105.Inp!$C26:$L26,"")=10,"",$B26)</f>
        <v>25</v>
      </c>
      <c r="F26" s="6">
        <f>IF(COUNTIF(PC.TU105.Inp!$C26:$L26,"")=10,"",IF(PC.TU105.Inp!$C26="","NULL",PC.TU105.Inp!$C26))</f>
        <v>756</v>
      </c>
      <c r="G26" s="6">
        <f>IF(COUNTIF(PC.TU105.Inp!$C26:$L26,"")=10,"",IF(PC.TU105.Inp!$D26="","NULL",PC.TU105.Inp!$D26))</f>
        <v>180</v>
      </c>
      <c r="H26" s="6">
        <f>IF(COUNTIF(PC.TU105.Inp!$C26:$L26,"")=10,"",IF(PC.TU105.Inp!$E26="","NULL",PC.TU105.Inp!$E26))</f>
        <v>72</v>
      </c>
      <c r="I26" s="6">
        <f>IF(COUNTIF(PC.TU105.Inp!$C26:$L26,"")=10,"",IF(PC.TU105.Inp!$F26="","NULL",PC.TU105.Inp!$F26))</f>
        <v>72</v>
      </c>
      <c r="J26" s="6" t="str">
        <f>IF(COUNTIF(PC.TU105.Inp!$C26:$L26,"")=10,"",IF(PC.TU105.Inp!$G26="","NULL",""""&amp;PC.TU105.Inp!$G26&amp;""""))</f>
        <v>"P"</v>
      </c>
      <c r="K26" s="6" t="str">
        <f>IF(COUNTIF(PC.TU105.Inp!$C26:$L26,"")=10,"",IF(PC.TU105.Inp!$H26="","NULL",""""&amp;PC.TU105.Inp!$H26&amp;""""))</f>
        <v>"p"</v>
      </c>
      <c r="L26" s="6" t="str">
        <f>IF(COUNTIF(PC.TU105.Inp!$C26:$L26,"")=10,"",IF(PC.TU105.Inp!$I26="","NULL",""""&amp;PC.TU105.Inp!$I26&amp;""""))</f>
        <v>NULL</v>
      </c>
      <c r="M26" s="6" t="str">
        <f>IF(COUNTIF(PC.TU105.Inp!$C26:$L26,"")=10,"",IF(PC.TU105.Inp!$J26="","NULL",""""&amp;PC.TU105.Inp!$J26&amp;""""))</f>
        <v>NULL</v>
      </c>
      <c r="N26" s="6">
        <f>IF(COUNTIF(PC.TU105.Inp!$C26:$L26,"")=10,"",IF(PC.TU105.Inp!$K26="","NULL",PC.TU105.Inp!$K26))</f>
        <v>1</v>
      </c>
      <c r="O26" s="6">
        <f>IF(COUNTIF(PC.TU105.Inp!$C26:$L26,"")=10,"",IF(PC.TU105.Inp!$L26="","NULL",PC.TU105.Inp!$L26))</f>
        <v>0</v>
      </c>
      <c r="P26" s="7" t="e">
        <f ca="1">IF(COUNTIF(PC.TU105.Inp!$C26:$L26,"")=10,"","("&amp;_xlfn.TEXTJOIN(",",FALSE,$C26:$O26)&amp;"),")</f>
        <v>#NAME?</v>
      </c>
    </row>
    <row r="27" spans="1:16" x14ac:dyDescent="0.3">
      <c r="A27" s="1" t="s">
        <v>165</v>
      </c>
      <c r="B27" s="1">
        <f t="shared" si="0"/>
        <v>26</v>
      </c>
      <c r="C27" s="6" t="str">
        <f>IF(COUNTIF(PC.TU105.Inp!$C27:$L27,"")=10,"","NULL")</f>
        <v>NULL</v>
      </c>
      <c r="D27" s="6" t="str">
        <f>IF(COUNTIF(PC.TU105.Inp!$C27:$L27,"")=10,"","NULL")</f>
        <v>NULL</v>
      </c>
      <c r="E27" s="6">
        <f>IF(COUNTIF(PC.TU105.Inp!$C27:$L27,"")=10,"",$B27)</f>
        <v>26</v>
      </c>
      <c r="F27" s="6">
        <f>IF(COUNTIF(PC.TU105.Inp!$C27:$L27,"")=10,"",IF(PC.TU105.Inp!$C27="","NULL",PC.TU105.Inp!$C27))</f>
        <v>828</v>
      </c>
      <c r="G27" s="6">
        <f>IF(COUNTIF(PC.TU105.Inp!$C27:$L27,"")=10,"",IF(PC.TU105.Inp!$D27="","NULL",PC.TU105.Inp!$D27))</f>
        <v>180</v>
      </c>
      <c r="H27" s="6">
        <f>IF(COUNTIF(PC.TU105.Inp!$C27:$L27,"")=10,"",IF(PC.TU105.Inp!$E27="","NULL",PC.TU105.Inp!$E27))</f>
        <v>72</v>
      </c>
      <c r="I27" s="6">
        <f>IF(COUNTIF(PC.TU105.Inp!$C27:$L27,"")=10,"",IF(PC.TU105.Inp!$F27="","NULL",PC.TU105.Inp!$F27))</f>
        <v>72</v>
      </c>
      <c r="J27" s="6" t="str">
        <f>IF(COUNTIF(PC.TU105.Inp!$C27:$L27,"")=10,"",IF(PC.TU105.Inp!$G27="","NULL",""""&amp;PC.TU105.Inp!$G27&amp;""""))</f>
        <v>"Ğ"</v>
      </c>
      <c r="K27" s="6" t="str">
        <f>IF(COUNTIF(PC.TU105.Inp!$C27:$L27,"")=10,"",IF(PC.TU105.Inp!$H27="","NULL",""""&amp;PC.TU105.Inp!$H27&amp;""""))</f>
        <v>"ğ"</v>
      </c>
      <c r="L27" s="6" t="str">
        <f>IF(COUNTIF(PC.TU105.Inp!$C27:$L27,"")=10,"",IF(PC.TU105.Inp!$I27="","NULL",""""&amp;PC.TU105.Inp!$I27&amp;""""))</f>
        <v>NULL</v>
      </c>
      <c r="M27" s="6" t="str">
        <f>IF(COUNTIF(PC.TU105.Inp!$C27:$L27,"")=10,"",IF(PC.TU105.Inp!$J27="","NULL",""""&amp;PC.TU105.Inp!$J27&amp;""""))</f>
        <v>"¨"</v>
      </c>
      <c r="N27" s="6">
        <f>IF(COUNTIF(PC.TU105.Inp!$C27:$L27,"")=10,"",IF(PC.TU105.Inp!$K27="","NULL",PC.TU105.Inp!$K27))</f>
        <v>1</v>
      </c>
      <c r="O27" s="6">
        <f>IF(COUNTIF(PC.TU105.Inp!$C27:$L27,"")=10,"",IF(PC.TU105.Inp!$L27="","NULL",PC.TU105.Inp!$L27))</f>
        <v>0</v>
      </c>
      <c r="P27" s="7" t="e">
        <f ca="1">IF(COUNTIF(PC.TU105.Inp!$C27:$L27,"")=10,"","("&amp;_xlfn.TEXTJOIN(",",FALSE,$C27:$O27)&amp;"),")</f>
        <v>#NAME?</v>
      </c>
    </row>
    <row r="28" spans="1:16" x14ac:dyDescent="0.3">
      <c r="A28" s="1" t="s">
        <v>61</v>
      </c>
      <c r="B28" s="1">
        <f t="shared" si="0"/>
        <v>27</v>
      </c>
      <c r="C28" s="6" t="str">
        <f>IF(COUNTIF(PC.TU105.Inp!$C28:$L28,"")=10,"","NULL")</f>
        <v>NULL</v>
      </c>
      <c r="D28" s="6" t="str">
        <f>IF(COUNTIF(PC.TU105.Inp!$C28:$L28,"")=10,"","NULL")</f>
        <v>NULL</v>
      </c>
      <c r="E28" s="6">
        <f>IF(COUNTIF(PC.TU105.Inp!$C28:$L28,"")=10,"",$B28)</f>
        <v>27</v>
      </c>
      <c r="F28" s="6">
        <f>IF(COUNTIF(PC.TU105.Inp!$C28:$L28,"")=10,"",IF(PC.TU105.Inp!$C28="","NULL",PC.TU105.Inp!$C28))</f>
        <v>900</v>
      </c>
      <c r="G28" s="6">
        <f>IF(COUNTIF(PC.TU105.Inp!$C28:$L28,"")=10,"",IF(PC.TU105.Inp!$D28="","NULL",PC.TU105.Inp!$D28))</f>
        <v>180</v>
      </c>
      <c r="H28" s="6">
        <f>IF(COUNTIF(PC.TU105.Inp!$C28:$L28,"")=10,"",IF(PC.TU105.Inp!$E28="","NULL",PC.TU105.Inp!$E28))</f>
        <v>72</v>
      </c>
      <c r="I28" s="6">
        <f>IF(COUNTIF(PC.TU105.Inp!$C28:$L28,"")=10,"",IF(PC.TU105.Inp!$F28="","NULL",PC.TU105.Inp!$F28))</f>
        <v>72</v>
      </c>
      <c r="J28" s="6" t="str">
        <f>IF(COUNTIF(PC.TU105.Inp!$C28:$L28,"")=10,"",IF(PC.TU105.Inp!$G28="","NULL",""""&amp;PC.TU105.Inp!$G28&amp;""""))</f>
        <v>"Ü"</v>
      </c>
      <c r="K28" s="6" t="str">
        <f>IF(COUNTIF(PC.TU105.Inp!$C28:$L28,"")=10,"",IF(PC.TU105.Inp!$H28="","NULL",""""&amp;PC.TU105.Inp!$H28&amp;""""))</f>
        <v>"ü"</v>
      </c>
      <c r="L28" s="6" t="str">
        <f>IF(COUNTIF(PC.TU105.Inp!$C28:$L28,"")=10,"",IF(PC.TU105.Inp!$I28="","NULL",""""&amp;PC.TU105.Inp!$I28&amp;""""))</f>
        <v>NULL</v>
      </c>
      <c r="M28" s="6" t="str">
        <f>IF(COUNTIF(PC.TU105.Inp!$C28:$L28,"")=10,"",IF(PC.TU105.Inp!$J28="","NULL",""""&amp;PC.TU105.Inp!$J28&amp;""""))</f>
        <v>"~"</v>
      </c>
      <c r="N28" s="6" t="str">
        <f>IF(COUNTIF(PC.TU105.Inp!$C28:$L28,"")=10,"",IF(PC.TU105.Inp!$K28="","NULL",PC.TU105.Inp!$K28))</f>
        <v>1</v>
      </c>
      <c r="O28" s="6">
        <f>IF(COUNTIF(PC.TU105.Inp!$C28:$L28,"")=10,"",IF(PC.TU105.Inp!$L28="","NULL",PC.TU105.Inp!$L28))</f>
        <v>0</v>
      </c>
      <c r="P28" s="7" t="e">
        <f ca="1">IF(COUNTIF(PC.TU105.Inp!$C28:$L28,"")=10,"","("&amp;_xlfn.TEXTJOIN(",",FALSE,$C28:$O28)&amp;"),")</f>
        <v>#NAME?</v>
      </c>
    </row>
    <row r="29" spans="1:16" x14ac:dyDescent="0.3">
      <c r="A29" s="1" t="s">
        <v>246</v>
      </c>
      <c r="B29" s="1">
        <f t="shared" si="0"/>
        <v>28</v>
      </c>
      <c r="C29" s="6" t="str">
        <f>IF(COUNTIF(PC.TU105.Inp!$C29:$L29,"")=10,"","NULL")</f>
        <v/>
      </c>
      <c r="D29" s="6" t="str">
        <f>IF(COUNTIF(PC.TU105.Inp!$C29:$L29,"")=10,"","NULL")</f>
        <v/>
      </c>
      <c r="E29" s="6" t="str">
        <f>IF(COUNTIF(PC.TU105.Inp!$C29:$L29,"")=10,"",$B29)</f>
        <v/>
      </c>
      <c r="F29" s="6" t="str">
        <f>IF(COUNTIF(PC.TU105.Inp!$C29:$L29,"")=10,"",IF(PC.TU105.Inp!$C29="","NULL",PC.TU105.Inp!$C29))</f>
        <v/>
      </c>
      <c r="G29" s="6" t="str">
        <f>IF(COUNTIF(PC.TU105.Inp!$C29:$L29,"")=10,"",IF(PC.TU105.Inp!$D29="","NULL",PC.TU105.Inp!$D29))</f>
        <v/>
      </c>
      <c r="H29" s="6" t="str">
        <f>IF(COUNTIF(PC.TU105.Inp!$C29:$L29,"")=10,"",IF(PC.TU105.Inp!$E29="","NULL",PC.TU105.Inp!$E29))</f>
        <v/>
      </c>
      <c r="I29" s="6" t="str">
        <f>IF(COUNTIF(PC.TU105.Inp!$C29:$L29,"")=10,"",IF(PC.TU105.Inp!$F29="","NULL",PC.TU105.Inp!$F29))</f>
        <v/>
      </c>
      <c r="J29" s="6" t="str">
        <f>IF(COUNTIF(PC.TU105.Inp!$C29:$L29,"")=10,"",IF(PC.TU105.Inp!$G29="","NULL",""""&amp;PC.TU105.Inp!$G29&amp;""""))</f>
        <v/>
      </c>
      <c r="K29" s="6" t="str">
        <f>IF(COUNTIF(PC.TU105.Inp!$C29:$L29,"")=10,"",IF(PC.TU105.Inp!$H29="","NULL",""""&amp;PC.TU105.Inp!$H29&amp;""""))</f>
        <v/>
      </c>
      <c r="L29" s="6" t="str">
        <f>IF(COUNTIF(PC.TU105.Inp!$C29:$L29,"")=10,"",IF(PC.TU105.Inp!$I29="","NULL",""""&amp;PC.TU105.Inp!$I29&amp;""""))</f>
        <v/>
      </c>
      <c r="M29" s="6" t="str">
        <f>IF(COUNTIF(PC.TU105.Inp!$C29:$L29,"")=10,"",IF(PC.TU105.Inp!$J29="","NULL",""""&amp;PC.TU105.Inp!$J29&amp;""""))</f>
        <v/>
      </c>
      <c r="N29" s="6" t="str">
        <f>IF(COUNTIF(PC.TU105.Inp!$C29:$L29,"")=10,"",IF(PC.TU105.Inp!$K29="","NULL",PC.TU105.Inp!$K29))</f>
        <v/>
      </c>
      <c r="O29" s="6" t="str">
        <f>IF(COUNTIF(PC.TU105.Inp!$C29:$L29,"")=10,"",IF(PC.TU105.Inp!$L29="","NULL",PC.TU105.Inp!$L29))</f>
        <v/>
      </c>
      <c r="P29" s="7" t="str">
        <f>IF(COUNTIF(PC.TU105.Inp!$C29:$L29,"")=10,"","("&amp;_xlfn.TEXTJOIN(",",FALSE,$C29:$O29)&amp;"),")</f>
        <v/>
      </c>
    </row>
    <row r="30" spans="1:16" x14ac:dyDescent="0.3">
      <c r="A30" s="1" t="s">
        <v>166</v>
      </c>
      <c r="B30" s="1">
        <f t="shared" si="0"/>
        <v>29</v>
      </c>
      <c r="C30" s="6" t="str">
        <f>IF(COUNTIF(PC.TU105.Inp!$C30:$L30,"")=10,"","NULL")</f>
        <v>NULL</v>
      </c>
      <c r="D30" s="6" t="str">
        <f>IF(COUNTIF(PC.TU105.Inp!$C30:$L30,"")=10,"","NULL")</f>
        <v>NULL</v>
      </c>
      <c r="E30" s="6">
        <f>IF(COUNTIF(PC.TU105.Inp!$C30:$L30,"")=10,"",$B30)</f>
        <v>29</v>
      </c>
      <c r="F30" s="6">
        <f>IF(COUNTIF(PC.TU105.Inp!$C30:$L30,"")=10,"",IF(PC.TU105.Inp!$C30="","NULL",PC.TU105.Inp!$C30))</f>
        <v>0</v>
      </c>
      <c r="G30" s="6">
        <f>IF(COUNTIF(PC.TU105.Inp!$C30:$L30,"")=10,"",IF(PC.TU105.Inp!$D30="","NULL",PC.TU105.Inp!$D30))</f>
        <v>252</v>
      </c>
      <c r="H30" s="6">
        <f>IF(COUNTIF(PC.TU105.Inp!$C30:$L30,"")=10,"",IF(PC.TU105.Inp!$E30="","NULL",PC.TU105.Inp!$E30))</f>
        <v>126</v>
      </c>
      <c r="I30" s="6">
        <f>IF(COUNTIF(PC.TU105.Inp!$C30:$L30,"")=10,"",IF(PC.TU105.Inp!$F30="","NULL",PC.TU105.Inp!$F30))</f>
        <v>72</v>
      </c>
      <c r="J30" s="6" t="str">
        <f>IF(COUNTIF(PC.TU105.Inp!$C30:$L30,"")=10,"",IF(PC.TU105.Inp!$G30="","NULL",""""&amp;PC.TU105.Inp!$G30&amp;""""))</f>
        <v>NULL</v>
      </c>
      <c r="K30" s="6" t="str">
        <f>IF(COUNTIF(PC.TU105.Inp!$C30:$L30,"")=10,"",IF(PC.TU105.Inp!$H30="","NULL",""""&amp;PC.TU105.Inp!$H30&amp;""""))</f>
        <v>"Caps Lock"</v>
      </c>
      <c r="L30" s="6" t="str">
        <f>IF(COUNTIF(PC.TU105.Inp!$C30:$L30,"")=10,"",IF(PC.TU105.Inp!$I30="","NULL",""""&amp;PC.TU105.Inp!$I30&amp;""""))</f>
        <v>NULL</v>
      </c>
      <c r="M30" s="6" t="str">
        <f>IF(COUNTIF(PC.TU105.Inp!$C30:$L30,"")=10,"",IF(PC.TU105.Inp!$J30="","NULL",""""&amp;PC.TU105.Inp!$J30&amp;""""))</f>
        <v>NULL</v>
      </c>
      <c r="N30" s="6">
        <f>IF(COUNTIF(PC.TU105.Inp!$C30:$L30,"")=10,"",IF(PC.TU105.Inp!$K30="","NULL",PC.TU105.Inp!$K30))</f>
        <v>0</v>
      </c>
      <c r="O30" s="6">
        <f>IF(COUNTIF(PC.TU105.Inp!$C30:$L30,"")=10,"",IF(PC.TU105.Inp!$L30="","NULL",PC.TU105.Inp!$L30))</f>
        <v>0</v>
      </c>
      <c r="P30" s="7" t="e">
        <f ca="1">IF(COUNTIF(PC.TU105.Inp!$C30:$L30,"")=10,"","("&amp;_xlfn.TEXTJOIN(",",FALSE,$C30:$O30)&amp;"),")</f>
        <v>#NAME?</v>
      </c>
    </row>
    <row r="31" spans="1:16" x14ac:dyDescent="0.3">
      <c r="A31" s="1" t="s">
        <v>67</v>
      </c>
      <c r="B31" s="1">
        <f t="shared" si="0"/>
        <v>30</v>
      </c>
      <c r="C31" s="6" t="str">
        <f>IF(COUNTIF(PC.TU105.Inp!$C31:$L31,"")=10,"","NULL")</f>
        <v>NULL</v>
      </c>
      <c r="D31" s="6" t="str">
        <f>IF(COUNTIF(PC.TU105.Inp!$C31:$L31,"")=10,"","NULL")</f>
        <v>NULL</v>
      </c>
      <c r="E31" s="6">
        <f>IF(COUNTIF(PC.TU105.Inp!$C31:$L31,"")=10,"",$B31)</f>
        <v>30</v>
      </c>
      <c r="F31" s="6">
        <f>IF(COUNTIF(PC.TU105.Inp!$C31:$L31,"")=10,"",IF(PC.TU105.Inp!$C31="","NULL",PC.TU105.Inp!$C31))</f>
        <v>126</v>
      </c>
      <c r="G31" s="6">
        <f>IF(COUNTIF(PC.TU105.Inp!$C31:$L31,"")=10,"",IF(PC.TU105.Inp!$D31="","NULL",PC.TU105.Inp!$D31))</f>
        <v>252</v>
      </c>
      <c r="H31" s="6">
        <f>IF(COUNTIF(PC.TU105.Inp!$C31:$L31,"")=10,"",IF(PC.TU105.Inp!$E31="","NULL",PC.TU105.Inp!$E31))</f>
        <v>72</v>
      </c>
      <c r="I31" s="6">
        <f>IF(COUNTIF(PC.TU105.Inp!$C31:$L31,"")=10,"",IF(PC.TU105.Inp!$F31="","NULL",PC.TU105.Inp!$F31))</f>
        <v>72</v>
      </c>
      <c r="J31" s="6" t="str">
        <f>IF(COUNTIF(PC.TU105.Inp!$C31:$L31,"")=10,"",IF(PC.TU105.Inp!$G31="","NULL",""""&amp;PC.TU105.Inp!$G31&amp;""""))</f>
        <v>"A"</v>
      </c>
      <c r="K31" s="6" t="str">
        <f>IF(COUNTIF(PC.TU105.Inp!$C31:$L31,"")=10,"",IF(PC.TU105.Inp!$H31="","NULL",""""&amp;PC.TU105.Inp!$H31&amp;""""))</f>
        <v>"a"</v>
      </c>
      <c r="L31" s="6" t="str">
        <f>IF(COUNTIF(PC.TU105.Inp!$C31:$L31,"")=10,"",IF(PC.TU105.Inp!$I31="","NULL",""""&amp;PC.TU105.Inp!$I31&amp;""""))</f>
        <v>"Æ"</v>
      </c>
      <c r="M31" s="6" t="str">
        <f>IF(COUNTIF(PC.TU105.Inp!$C31:$L31,"")=10,"",IF(PC.TU105.Inp!$J31="","NULL",""""&amp;PC.TU105.Inp!$J31&amp;""""))</f>
        <v>"æ"</v>
      </c>
      <c r="N31" s="6">
        <f>IF(COUNTIF(PC.TU105.Inp!$C31:$L31,"")=10,"",IF(PC.TU105.Inp!$K31="","NULL",PC.TU105.Inp!$K31))</f>
        <v>1</v>
      </c>
      <c r="O31" s="6">
        <f>IF(COUNTIF(PC.TU105.Inp!$C31:$L31,"")=10,"",IF(PC.TU105.Inp!$L31="","NULL",PC.TU105.Inp!$L31))</f>
        <v>0</v>
      </c>
      <c r="P31" s="7" t="e">
        <f ca="1">IF(COUNTIF(PC.TU105.Inp!$C31:$L31,"")=10,"","("&amp;_xlfn.TEXTJOIN(",",FALSE,$C31:$O31)&amp;"),")</f>
        <v>#NAME?</v>
      </c>
    </row>
    <row r="32" spans="1:16" x14ac:dyDescent="0.3">
      <c r="A32" s="1" t="s">
        <v>69</v>
      </c>
      <c r="B32" s="1">
        <f t="shared" si="0"/>
        <v>31</v>
      </c>
      <c r="C32" s="6" t="str">
        <f>IF(COUNTIF(PC.TU105.Inp!$C32:$L32,"")=10,"","NULL")</f>
        <v>NULL</v>
      </c>
      <c r="D32" s="6" t="str">
        <f>IF(COUNTIF(PC.TU105.Inp!$C32:$L32,"")=10,"","NULL")</f>
        <v>NULL</v>
      </c>
      <c r="E32" s="6">
        <f>IF(COUNTIF(PC.TU105.Inp!$C32:$L32,"")=10,"",$B32)</f>
        <v>31</v>
      </c>
      <c r="F32" s="6">
        <f>IF(COUNTIF(PC.TU105.Inp!$C32:$L32,"")=10,"",IF(PC.TU105.Inp!$C32="","NULL",PC.TU105.Inp!$C32))</f>
        <v>198</v>
      </c>
      <c r="G32" s="6">
        <f>IF(COUNTIF(PC.TU105.Inp!$C32:$L32,"")=10,"",IF(PC.TU105.Inp!$D32="","NULL",PC.TU105.Inp!$D32))</f>
        <v>252</v>
      </c>
      <c r="H32" s="6">
        <f>IF(COUNTIF(PC.TU105.Inp!$C32:$L32,"")=10,"",IF(PC.TU105.Inp!$E32="","NULL",PC.TU105.Inp!$E32))</f>
        <v>72</v>
      </c>
      <c r="I32" s="6">
        <f>IF(COUNTIF(PC.TU105.Inp!$C32:$L32,"")=10,"",IF(PC.TU105.Inp!$F32="","NULL",PC.TU105.Inp!$F32))</f>
        <v>72</v>
      </c>
      <c r="J32" s="6" t="str">
        <f>IF(COUNTIF(PC.TU105.Inp!$C32:$L32,"")=10,"",IF(PC.TU105.Inp!$G32="","NULL",""""&amp;PC.TU105.Inp!$G32&amp;""""))</f>
        <v>"S"</v>
      </c>
      <c r="K32" s="6" t="str">
        <f>IF(COUNTIF(PC.TU105.Inp!$C32:$L32,"")=10,"",IF(PC.TU105.Inp!$H32="","NULL",""""&amp;PC.TU105.Inp!$H32&amp;""""))</f>
        <v>"s"</v>
      </c>
      <c r="L32" s="6" t="str">
        <f>IF(COUNTIF(PC.TU105.Inp!$C32:$L32,"")=10,"",IF(PC.TU105.Inp!$I32="","NULL",""""&amp;PC.TU105.Inp!$I32&amp;""""))</f>
        <v>NULL</v>
      </c>
      <c r="M32" s="6" t="str">
        <f>IF(COUNTIF(PC.TU105.Inp!$C32:$L32,"")=10,"",IF(PC.TU105.Inp!$J32="","NULL",""""&amp;PC.TU105.Inp!$J32&amp;""""))</f>
        <v>"ß"</v>
      </c>
      <c r="N32" s="6">
        <f>IF(COUNTIF(PC.TU105.Inp!$C32:$L32,"")=10,"",IF(PC.TU105.Inp!$K32="","NULL",PC.TU105.Inp!$K32))</f>
        <v>1</v>
      </c>
      <c r="O32" s="6">
        <f>IF(COUNTIF(PC.TU105.Inp!$C32:$L32,"")=10,"",IF(PC.TU105.Inp!$L32="","NULL",PC.TU105.Inp!$L32))</f>
        <v>0</v>
      </c>
      <c r="P32" s="7" t="e">
        <f ca="1">IF(COUNTIF(PC.TU105.Inp!$C32:$L32,"")=10,"","("&amp;_xlfn.TEXTJOIN(",",FALSE,$C32:$O32)&amp;"),")</f>
        <v>#NAME?</v>
      </c>
    </row>
    <row r="33" spans="1:16" x14ac:dyDescent="0.3">
      <c r="A33" s="1" t="s">
        <v>71</v>
      </c>
      <c r="B33" s="1">
        <f t="shared" si="0"/>
        <v>32</v>
      </c>
      <c r="C33" s="6" t="str">
        <f>IF(COUNTIF(PC.TU105.Inp!$C33:$L33,"")=10,"","NULL")</f>
        <v>NULL</v>
      </c>
      <c r="D33" s="6" t="str">
        <f>IF(COUNTIF(PC.TU105.Inp!$C33:$L33,"")=10,"","NULL")</f>
        <v>NULL</v>
      </c>
      <c r="E33" s="6">
        <f>IF(COUNTIF(PC.TU105.Inp!$C33:$L33,"")=10,"",$B33)</f>
        <v>32</v>
      </c>
      <c r="F33" s="6">
        <f>IF(COUNTIF(PC.TU105.Inp!$C33:$L33,"")=10,"",IF(PC.TU105.Inp!$C33="","NULL",PC.TU105.Inp!$C33))</f>
        <v>270</v>
      </c>
      <c r="G33" s="6">
        <f>IF(COUNTIF(PC.TU105.Inp!$C33:$L33,"")=10,"",IF(PC.TU105.Inp!$D33="","NULL",PC.TU105.Inp!$D33))</f>
        <v>252</v>
      </c>
      <c r="H33" s="6">
        <f>IF(COUNTIF(PC.TU105.Inp!$C33:$L33,"")=10,"",IF(PC.TU105.Inp!$E33="","NULL",PC.TU105.Inp!$E33))</f>
        <v>72</v>
      </c>
      <c r="I33" s="6">
        <f>IF(COUNTIF(PC.TU105.Inp!$C33:$L33,"")=10,"",IF(PC.TU105.Inp!$F33="","NULL",PC.TU105.Inp!$F33))</f>
        <v>72</v>
      </c>
      <c r="J33" s="6" t="str">
        <f>IF(COUNTIF(PC.TU105.Inp!$C33:$L33,"")=10,"",IF(PC.TU105.Inp!$G33="","NULL",""""&amp;PC.TU105.Inp!$G33&amp;""""))</f>
        <v>"D"</v>
      </c>
      <c r="K33" s="6" t="str">
        <f>IF(COUNTIF(PC.TU105.Inp!$C33:$L33,"")=10,"",IF(PC.TU105.Inp!$H33="","NULL",""""&amp;PC.TU105.Inp!$H33&amp;""""))</f>
        <v>"d"</v>
      </c>
      <c r="L33" s="6" t="str">
        <f>IF(COUNTIF(PC.TU105.Inp!$C33:$L33,"")=10,"",IF(PC.TU105.Inp!$I33="","NULL",""""&amp;PC.TU105.Inp!$I33&amp;""""))</f>
        <v>NULL</v>
      </c>
      <c r="M33" s="6" t="str">
        <f>IF(COUNTIF(PC.TU105.Inp!$C33:$L33,"")=10,"",IF(PC.TU105.Inp!$J33="","NULL",""""&amp;PC.TU105.Inp!$J33&amp;""""))</f>
        <v>NULL</v>
      </c>
      <c r="N33" s="6">
        <f>IF(COUNTIF(PC.TU105.Inp!$C33:$L33,"")=10,"",IF(PC.TU105.Inp!$K33="","NULL",PC.TU105.Inp!$K33))</f>
        <v>1</v>
      </c>
      <c r="O33" s="6">
        <f>IF(COUNTIF(PC.TU105.Inp!$C33:$L33,"")=10,"",IF(PC.TU105.Inp!$L33="","NULL",PC.TU105.Inp!$L33))</f>
        <v>0</v>
      </c>
      <c r="P33" s="7" t="e">
        <f ca="1">IF(COUNTIF(PC.TU105.Inp!$C33:$L33,"")=10,"","("&amp;_xlfn.TEXTJOIN(",",FALSE,$C33:$O33)&amp;"),")</f>
        <v>#NAME?</v>
      </c>
    </row>
    <row r="34" spans="1:16" x14ac:dyDescent="0.3">
      <c r="A34" s="1" t="s">
        <v>73</v>
      </c>
      <c r="B34" s="1">
        <f t="shared" si="0"/>
        <v>33</v>
      </c>
      <c r="C34" s="6" t="str">
        <f>IF(COUNTIF(PC.TU105.Inp!$C34:$L34,"")=10,"","NULL")</f>
        <v>NULL</v>
      </c>
      <c r="D34" s="6" t="str">
        <f>IF(COUNTIF(PC.TU105.Inp!$C34:$L34,"")=10,"","NULL")</f>
        <v>NULL</v>
      </c>
      <c r="E34" s="6">
        <f>IF(COUNTIF(PC.TU105.Inp!$C34:$L34,"")=10,"",$B34)</f>
        <v>33</v>
      </c>
      <c r="F34" s="6">
        <f>IF(COUNTIF(PC.TU105.Inp!$C34:$L34,"")=10,"",IF(PC.TU105.Inp!$C34="","NULL",PC.TU105.Inp!$C34))</f>
        <v>342</v>
      </c>
      <c r="G34" s="6">
        <f>IF(COUNTIF(PC.TU105.Inp!$C34:$L34,"")=10,"",IF(PC.TU105.Inp!$D34="","NULL",PC.TU105.Inp!$D34))</f>
        <v>252</v>
      </c>
      <c r="H34" s="6">
        <f>IF(COUNTIF(PC.TU105.Inp!$C34:$L34,"")=10,"",IF(PC.TU105.Inp!$E34="","NULL",PC.TU105.Inp!$E34))</f>
        <v>72</v>
      </c>
      <c r="I34" s="6">
        <f>IF(COUNTIF(PC.TU105.Inp!$C34:$L34,"")=10,"",IF(PC.TU105.Inp!$F34="","NULL",PC.TU105.Inp!$F34))</f>
        <v>72</v>
      </c>
      <c r="J34" s="6" t="str">
        <f>IF(COUNTIF(PC.TU105.Inp!$C34:$L34,"")=10,"",IF(PC.TU105.Inp!$G34="","NULL",""""&amp;PC.TU105.Inp!$G34&amp;""""))</f>
        <v>"F"</v>
      </c>
      <c r="K34" s="6" t="str">
        <f>IF(COUNTIF(PC.TU105.Inp!$C34:$L34,"")=10,"",IF(PC.TU105.Inp!$H34="","NULL",""""&amp;PC.TU105.Inp!$H34&amp;""""))</f>
        <v>"f"</v>
      </c>
      <c r="L34" s="6" t="str">
        <f>IF(COUNTIF(PC.TU105.Inp!$C34:$L34,"")=10,"",IF(PC.TU105.Inp!$I34="","NULL",""""&amp;PC.TU105.Inp!$I34&amp;""""))</f>
        <v>NULL</v>
      </c>
      <c r="M34" s="6" t="str">
        <f>IF(COUNTIF(PC.TU105.Inp!$C34:$L34,"")=10,"",IF(PC.TU105.Inp!$J34="","NULL",""""&amp;PC.TU105.Inp!$J34&amp;""""))</f>
        <v>NULL</v>
      </c>
      <c r="N34" s="6">
        <f>IF(COUNTIF(PC.TU105.Inp!$C34:$L34,"")=10,"",IF(PC.TU105.Inp!$K34="","NULL",PC.TU105.Inp!$K34))</f>
        <v>1</v>
      </c>
      <c r="O34" s="6">
        <f>IF(COUNTIF(PC.TU105.Inp!$C34:$L34,"")=10,"",IF(PC.TU105.Inp!$L34="","NULL",PC.TU105.Inp!$L34))</f>
        <v>0</v>
      </c>
      <c r="P34" s="7" t="e">
        <f ca="1">IF(COUNTIF(PC.TU105.Inp!$C34:$L34,"")=10,"","("&amp;_xlfn.TEXTJOIN(",",FALSE,$C34:$O34)&amp;"),")</f>
        <v>#NAME?</v>
      </c>
    </row>
    <row r="35" spans="1:16" x14ac:dyDescent="0.3">
      <c r="A35" s="1" t="s">
        <v>75</v>
      </c>
      <c r="B35" s="1">
        <f t="shared" si="0"/>
        <v>34</v>
      </c>
      <c r="C35" s="6" t="str">
        <f>IF(COUNTIF(PC.TU105.Inp!$C35:$L35,"")=10,"","NULL")</f>
        <v>NULL</v>
      </c>
      <c r="D35" s="6" t="str">
        <f>IF(COUNTIF(PC.TU105.Inp!$C35:$L35,"")=10,"","NULL")</f>
        <v>NULL</v>
      </c>
      <c r="E35" s="6">
        <f>IF(COUNTIF(PC.TU105.Inp!$C35:$L35,"")=10,"",$B35)</f>
        <v>34</v>
      </c>
      <c r="F35" s="6">
        <f>IF(COUNTIF(PC.TU105.Inp!$C35:$L35,"")=10,"",IF(PC.TU105.Inp!$C35="","NULL",PC.TU105.Inp!$C35))</f>
        <v>414</v>
      </c>
      <c r="G35" s="6">
        <f>IF(COUNTIF(PC.TU105.Inp!$C35:$L35,"")=10,"",IF(PC.TU105.Inp!$D35="","NULL",PC.TU105.Inp!$D35))</f>
        <v>252</v>
      </c>
      <c r="H35" s="6">
        <f>IF(COUNTIF(PC.TU105.Inp!$C35:$L35,"")=10,"",IF(PC.TU105.Inp!$E35="","NULL",PC.TU105.Inp!$E35))</f>
        <v>72</v>
      </c>
      <c r="I35" s="6">
        <f>IF(COUNTIF(PC.TU105.Inp!$C35:$L35,"")=10,"",IF(PC.TU105.Inp!$F35="","NULL",PC.TU105.Inp!$F35))</f>
        <v>72</v>
      </c>
      <c r="J35" s="6" t="str">
        <f>IF(COUNTIF(PC.TU105.Inp!$C35:$L35,"")=10,"",IF(PC.TU105.Inp!$G35="","NULL",""""&amp;PC.TU105.Inp!$G35&amp;""""))</f>
        <v>"G"</v>
      </c>
      <c r="K35" s="6" t="str">
        <f>IF(COUNTIF(PC.TU105.Inp!$C35:$L35,"")=10,"",IF(PC.TU105.Inp!$H35="","NULL",""""&amp;PC.TU105.Inp!$H35&amp;""""))</f>
        <v>"g"</v>
      </c>
      <c r="L35" s="6" t="str">
        <f>IF(COUNTIF(PC.TU105.Inp!$C35:$L35,"")=10,"",IF(PC.TU105.Inp!$I35="","NULL",""""&amp;PC.TU105.Inp!$I35&amp;""""))</f>
        <v>NULL</v>
      </c>
      <c r="M35" s="6" t="str">
        <f>IF(COUNTIF(PC.TU105.Inp!$C35:$L35,"")=10,"",IF(PC.TU105.Inp!$J35="","NULL",""""&amp;PC.TU105.Inp!$J35&amp;""""))</f>
        <v>NULL</v>
      </c>
      <c r="N35" s="6">
        <f>IF(COUNTIF(PC.TU105.Inp!$C35:$L35,"")=10,"",IF(PC.TU105.Inp!$K35="","NULL",PC.TU105.Inp!$K35))</f>
        <v>1</v>
      </c>
      <c r="O35" s="6">
        <f>IF(COUNTIF(PC.TU105.Inp!$C35:$L35,"")=10,"",IF(PC.TU105.Inp!$L35="","NULL",PC.TU105.Inp!$L35))</f>
        <v>0</v>
      </c>
      <c r="P35" s="7" t="e">
        <f ca="1">IF(COUNTIF(PC.TU105.Inp!$C35:$L35,"")=10,"","("&amp;_xlfn.TEXTJOIN(",",FALSE,$C35:$O35)&amp;"),")</f>
        <v>#NAME?</v>
      </c>
    </row>
    <row r="36" spans="1:16" x14ac:dyDescent="0.3">
      <c r="A36" s="1" t="s">
        <v>77</v>
      </c>
      <c r="B36" s="1">
        <f t="shared" si="0"/>
        <v>35</v>
      </c>
      <c r="C36" s="6" t="str">
        <f>IF(COUNTIF(PC.TU105.Inp!$C36:$L36,"")=10,"","NULL")</f>
        <v>NULL</v>
      </c>
      <c r="D36" s="6" t="str">
        <f>IF(COUNTIF(PC.TU105.Inp!$C36:$L36,"")=10,"","NULL")</f>
        <v>NULL</v>
      </c>
      <c r="E36" s="6">
        <f>IF(COUNTIF(PC.TU105.Inp!$C36:$L36,"")=10,"",$B36)</f>
        <v>35</v>
      </c>
      <c r="F36" s="6">
        <f>IF(COUNTIF(PC.TU105.Inp!$C36:$L36,"")=10,"",IF(PC.TU105.Inp!$C36="","NULL",PC.TU105.Inp!$C36))</f>
        <v>486</v>
      </c>
      <c r="G36" s="6">
        <f>IF(COUNTIF(PC.TU105.Inp!$C36:$L36,"")=10,"",IF(PC.TU105.Inp!$D36="","NULL",PC.TU105.Inp!$D36))</f>
        <v>252</v>
      </c>
      <c r="H36" s="6">
        <f>IF(COUNTIF(PC.TU105.Inp!$C36:$L36,"")=10,"",IF(PC.TU105.Inp!$E36="","NULL",PC.TU105.Inp!$E36))</f>
        <v>72</v>
      </c>
      <c r="I36" s="6">
        <f>IF(COUNTIF(PC.TU105.Inp!$C36:$L36,"")=10,"",IF(PC.TU105.Inp!$F36="","NULL",PC.TU105.Inp!$F36))</f>
        <v>72</v>
      </c>
      <c r="J36" s="6" t="str">
        <f>IF(COUNTIF(PC.TU105.Inp!$C36:$L36,"")=10,"",IF(PC.TU105.Inp!$G36="","NULL",""""&amp;PC.TU105.Inp!$G36&amp;""""))</f>
        <v>"H"</v>
      </c>
      <c r="K36" s="6" t="str">
        <f>IF(COUNTIF(PC.TU105.Inp!$C36:$L36,"")=10,"",IF(PC.TU105.Inp!$H36="","NULL",""""&amp;PC.TU105.Inp!$H36&amp;""""))</f>
        <v>"h"</v>
      </c>
      <c r="L36" s="6" t="str">
        <f>IF(COUNTIF(PC.TU105.Inp!$C36:$L36,"")=10,"",IF(PC.TU105.Inp!$I36="","NULL",""""&amp;PC.TU105.Inp!$I36&amp;""""))</f>
        <v>NULL</v>
      </c>
      <c r="M36" s="6" t="str">
        <f>IF(COUNTIF(PC.TU105.Inp!$C36:$L36,"")=10,"",IF(PC.TU105.Inp!$J36="","NULL",""""&amp;PC.TU105.Inp!$J36&amp;""""))</f>
        <v>NULL</v>
      </c>
      <c r="N36" s="6">
        <f>IF(COUNTIF(PC.TU105.Inp!$C36:$L36,"")=10,"",IF(PC.TU105.Inp!$K36="","NULL",PC.TU105.Inp!$K36))</f>
        <v>1</v>
      </c>
      <c r="O36" s="6">
        <f>IF(COUNTIF(PC.TU105.Inp!$C36:$L36,"")=10,"",IF(PC.TU105.Inp!$L36="","NULL",PC.TU105.Inp!$L36))</f>
        <v>0</v>
      </c>
      <c r="P36" s="7" t="e">
        <f ca="1">IF(COUNTIF(PC.TU105.Inp!$C36:$L36,"")=10,"","("&amp;_xlfn.TEXTJOIN(",",FALSE,$C36:$O36)&amp;"),")</f>
        <v>#NAME?</v>
      </c>
    </row>
    <row r="37" spans="1:16" x14ac:dyDescent="0.3">
      <c r="A37" s="1" t="s">
        <v>79</v>
      </c>
      <c r="B37" s="1">
        <f t="shared" si="0"/>
        <v>36</v>
      </c>
      <c r="C37" s="6" t="str">
        <f>IF(COUNTIF(PC.TU105.Inp!$C37:$L37,"")=10,"","NULL")</f>
        <v>NULL</v>
      </c>
      <c r="D37" s="6" t="str">
        <f>IF(COUNTIF(PC.TU105.Inp!$C37:$L37,"")=10,"","NULL")</f>
        <v>NULL</v>
      </c>
      <c r="E37" s="6">
        <f>IF(COUNTIF(PC.TU105.Inp!$C37:$L37,"")=10,"",$B37)</f>
        <v>36</v>
      </c>
      <c r="F37" s="6">
        <f>IF(COUNTIF(PC.TU105.Inp!$C37:$L37,"")=10,"",IF(PC.TU105.Inp!$C37="","NULL",PC.TU105.Inp!$C37))</f>
        <v>558</v>
      </c>
      <c r="G37" s="6">
        <f>IF(COUNTIF(PC.TU105.Inp!$C37:$L37,"")=10,"",IF(PC.TU105.Inp!$D37="","NULL",PC.TU105.Inp!$D37))</f>
        <v>252</v>
      </c>
      <c r="H37" s="6">
        <f>IF(COUNTIF(PC.TU105.Inp!$C37:$L37,"")=10,"",IF(PC.TU105.Inp!$E37="","NULL",PC.TU105.Inp!$E37))</f>
        <v>72</v>
      </c>
      <c r="I37" s="6">
        <f>IF(COUNTIF(PC.TU105.Inp!$C37:$L37,"")=10,"",IF(PC.TU105.Inp!$F37="","NULL",PC.TU105.Inp!$F37))</f>
        <v>72</v>
      </c>
      <c r="J37" s="6" t="str">
        <f>IF(COUNTIF(PC.TU105.Inp!$C37:$L37,"")=10,"",IF(PC.TU105.Inp!$G37="","NULL",""""&amp;PC.TU105.Inp!$G37&amp;""""))</f>
        <v>"J"</v>
      </c>
      <c r="K37" s="6" t="str">
        <f>IF(COUNTIF(PC.TU105.Inp!$C37:$L37,"")=10,"",IF(PC.TU105.Inp!$H37="","NULL",""""&amp;PC.TU105.Inp!$H37&amp;""""))</f>
        <v>"j"</v>
      </c>
      <c r="L37" s="6" t="str">
        <f>IF(COUNTIF(PC.TU105.Inp!$C37:$L37,"")=10,"",IF(PC.TU105.Inp!$I37="","NULL",""""&amp;PC.TU105.Inp!$I37&amp;""""))</f>
        <v>NULL</v>
      </c>
      <c r="M37" s="6" t="str">
        <f>IF(COUNTIF(PC.TU105.Inp!$C37:$L37,"")=10,"",IF(PC.TU105.Inp!$J37="","NULL",""""&amp;PC.TU105.Inp!$J37&amp;""""))</f>
        <v>NULL</v>
      </c>
      <c r="N37" s="6">
        <f>IF(COUNTIF(PC.TU105.Inp!$C37:$L37,"")=10,"",IF(PC.TU105.Inp!$K37="","NULL",PC.TU105.Inp!$K37))</f>
        <v>1</v>
      </c>
      <c r="O37" s="6">
        <f>IF(COUNTIF(PC.TU105.Inp!$C37:$L37,"")=10,"",IF(PC.TU105.Inp!$L37="","NULL",PC.TU105.Inp!$L37))</f>
        <v>0</v>
      </c>
      <c r="P37" s="7" t="e">
        <f ca="1">IF(COUNTIF(PC.TU105.Inp!$C37:$L37,"")=10,"","("&amp;_xlfn.TEXTJOIN(",",FALSE,$C37:$O37)&amp;"),")</f>
        <v>#NAME?</v>
      </c>
    </row>
    <row r="38" spans="1:16" x14ac:dyDescent="0.3">
      <c r="A38" s="1" t="s">
        <v>81</v>
      </c>
      <c r="B38" s="1">
        <f t="shared" si="0"/>
        <v>37</v>
      </c>
      <c r="C38" s="6" t="str">
        <f>IF(COUNTIF(PC.TU105.Inp!$C38:$L38,"")=10,"","NULL")</f>
        <v>NULL</v>
      </c>
      <c r="D38" s="6" t="str">
        <f>IF(COUNTIF(PC.TU105.Inp!$C38:$L38,"")=10,"","NULL")</f>
        <v>NULL</v>
      </c>
      <c r="E38" s="6">
        <f>IF(COUNTIF(PC.TU105.Inp!$C38:$L38,"")=10,"",$B38)</f>
        <v>37</v>
      </c>
      <c r="F38" s="6">
        <f>IF(COUNTIF(PC.TU105.Inp!$C38:$L38,"")=10,"",IF(PC.TU105.Inp!$C38="","NULL",PC.TU105.Inp!$C38))</f>
        <v>630</v>
      </c>
      <c r="G38" s="6">
        <f>IF(COUNTIF(PC.TU105.Inp!$C38:$L38,"")=10,"",IF(PC.TU105.Inp!$D38="","NULL",PC.TU105.Inp!$D38))</f>
        <v>252</v>
      </c>
      <c r="H38" s="6">
        <f>IF(COUNTIF(PC.TU105.Inp!$C38:$L38,"")=10,"",IF(PC.TU105.Inp!$E38="","NULL",PC.TU105.Inp!$E38))</f>
        <v>72</v>
      </c>
      <c r="I38" s="6">
        <f>IF(COUNTIF(PC.TU105.Inp!$C38:$L38,"")=10,"",IF(PC.TU105.Inp!$F38="","NULL",PC.TU105.Inp!$F38))</f>
        <v>72</v>
      </c>
      <c r="J38" s="6" t="str">
        <f>IF(COUNTIF(PC.TU105.Inp!$C38:$L38,"")=10,"",IF(PC.TU105.Inp!$G38="","NULL",""""&amp;PC.TU105.Inp!$G38&amp;""""))</f>
        <v>"K"</v>
      </c>
      <c r="K38" s="6" t="str">
        <f>IF(COUNTIF(PC.TU105.Inp!$C38:$L38,"")=10,"",IF(PC.TU105.Inp!$H38="","NULL",""""&amp;PC.TU105.Inp!$H38&amp;""""))</f>
        <v>"k"</v>
      </c>
      <c r="L38" s="6" t="str">
        <f>IF(COUNTIF(PC.TU105.Inp!$C38:$L38,"")=10,"",IF(PC.TU105.Inp!$I38="","NULL",""""&amp;PC.TU105.Inp!$I38&amp;""""))</f>
        <v>NULL</v>
      </c>
      <c r="M38" s="6" t="str">
        <f>IF(COUNTIF(PC.TU105.Inp!$C38:$L38,"")=10,"",IF(PC.TU105.Inp!$J38="","NULL",""""&amp;PC.TU105.Inp!$J38&amp;""""))</f>
        <v>NULL</v>
      </c>
      <c r="N38" s="6">
        <f>IF(COUNTIF(PC.TU105.Inp!$C38:$L38,"")=10,"",IF(PC.TU105.Inp!$K38="","NULL",PC.TU105.Inp!$K38))</f>
        <v>1</v>
      </c>
      <c r="O38" s="6">
        <f>IF(COUNTIF(PC.TU105.Inp!$C38:$L38,"")=10,"",IF(PC.TU105.Inp!$L38="","NULL",PC.TU105.Inp!$L38))</f>
        <v>0</v>
      </c>
      <c r="P38" s="7" t="e">
        <f ca="1">IF(COUNTIF(PC.TU105.Inp!$C38:$L38,"")=10,"","("&amp;_xlfn.TEXTJOIN(",",FALSE,$C38:$O38)&amp;"),")</f>
        <v>#NAME?</v>
      </c>
    </row>
    <row r="39" spans="1:16" x14ac:dyDescent="0.3">
      <c r="A39" s="1" t="s">
        <v>83</v>
      </c>
      <c r="B39" s="1">
        <f t="shared" si="0"/>
        <v>38</v>
      </c>
      <c r="C39" s="6" t="str">
        <f>IF(COUNTIF(PC.TU105.Inp!$C39:$L39,"")=10,"","NULL")</f>
        <v>NULL</v>
      </c>
      <c r="D39" s="6" t="str">
        <f>IF(COUNTIF(PC.TU105.Inp!$C39:$L39,"")=10,"","NULL")</f>
        <v>NULL</v>
      </c>
      <c r="E39" s="6">
        <f>IF(COUNTIF(PC.TU105.Inp!$C39:$L39,"")=10,"",$B39)</f>
        <v>38</v>
      </c>
      <c r="F39" s="6">
        <f>IF(COUNTIF(PC.TU105.Inp!$C39:$L39,"")=10,"",IF(PC.TU105.Inp!$C39="","NULL",PC.TU105.Inp!$C39))</f>
        <v>702</v>
      </c>
      <c r="G39" s="6">
        <f>IF(COUNTIF(PC.TU105.Inp!$C39:$L39,"")=10,"",IF(PC.TU105.Inp!$D39="","NULL",PC.TU105.Inp!$D39))</f>
        <v>252</v>
      </c>
      <c r="H39" s="6">
        <f>IF(COUNTIF(PC.TU105.Inp!$C39:$L39,"")=10,"",IF(PC.TU105.Inp!$E39="","NULL",PC.TU105.Inp!$E39))</f>
        <v>72</v>
      </c>
      <c r="I39" s="6">
        <f>IF(COUNTIF(PC.TU105.Inp!$C39:$L39,"")=10,"",IF(PC.TU105.Inp!$F39="","NULL",PC.TU105.Inp!$F39))</f>
        <v>72</v>
      </c>
      <c r="J39" s="6" t="str">
        <f>IF(COUNTIF(PC.TU105.Inp!$C39:$L39,"")=10,"",IF(PC.TU105.Inp!$G39="","NULL",""""&amp;PC.TU105.Inp!$G39&amp;""""))</f>
        <v>"L"</v>
      </c>
      <c r="K39" s="6" t="str">
        <f>IF(COUNTIF(PC.TU105.Inp!$C39:$L39,"")=10,"",IF(PC.TU105.Inp!$H39="","NULL",""""&amp;PC.TU105.Inp!$H39&amp;""""))</f>
        <v>"l"</v>
      </c>
      <c r="L39" s="6" t="str">
        <f>IF(COUNTIF(PC.TU105.Inp!$C39:$L39,"")=10,"",IF(PC.TU105.Inp!$I39="","NULL",""""&amp;PC.TU105.Inp!$I39&amp;""""))</f>
        <v>NULL</v>
      </c>
      <c r="M39" s="6" t="str">
        <f>IF(COUNTIF(PC.TU105.Inp!$C39:$L39,"")=10,"",IF(PC.TU105.Inp!$J39="","NULL",""""&amp;PC.TU105.Inp!$J39&amp;""""))</f>
        <v>NULL</v>
      </c>
      <c r="N39" s="6">
        <f>IF(COUNTIF(PC.TU105.Inp!$C39:$L39,"")=10,"",IF(PC.TU105.Inp!$K39="","NULL",PC.TU105.Inp!$K39))</f>
        <v>1</v>
      </c>
      <c r="O39" s="6">
        <f>IF(COUNTIF(PC.TU105.Inp!$C39:$L39,"")=10,"",IF(PC.TU105.Inp!$L39="","NULL",PC.TU105.Inp!$L39))</f>
        <v>0</v>
      </c>
      <c r="P39" s="7" t="e">
        <f ca="1">IF(COUNTIF(PC.TU105.Inp!$C39:$L39,"")=10,"","("&amp;_xlfn.TEXTJOIN(",",FALSE,$C39:$O39)&amp;"),")</f>
        <v>#NAME?</v>
      </c>
    </row>
    <row r="40" spans="1:16" x14ac:dyDescent="0.3">
      <c r="A40" s="1" t="s">
        <v>183</v>
      </c>
      <c r="B40" s="1">
        <f t="shared" si="0"/>
        <v>39</v>
      </c>
      <c r="C40" s="6" t="str">
        <f>IF(COUNTIF(PC.TU105.Inp!$C40:$L40,"")=10,"","NULL")</f>
        <v>NULL</v>
      </c>
      <c r="D40" s="6" t="str">
        <f>IF(COUNTIF(PC.TU105.Inp!$C40:$L40,"")=10,"","NULL")</f>
        <v>NULL</v>
      </c>
      <c r="E40" s="6">
        <f>IF(COUNTIF(PC.TU105.Inp!$C40:$L40,"")=10,"",$B40)</f>
        <v>39</v>
      </c>
      <c r="F40" s="6">
        <f>IF(COUNTIF(PC.TU105.Inp!$C40:$L40,"")=10,"",IF(PC.TU105.Inp!$C40="","NULL",PC.TU105.Inp!$C40))</f>
        <v>774</v>
      </c>
      <c r="G40" s="6">
        <f>IF(COUNTIF(PC.TU105.Inp!$C40:$L40,"")=10,"",IF(PC.TU105.Inp!$D40="","NULL",PC.TU105.Inp!$D40))</f>
        <v>252</v>
      </c>
      <c r="H40" s="6">
        <f>IF(COUNTIF(PC.TU105.Inp!$C40:$L40,"")=10,"",IF(PC.TU105.Inp!$E40="","NULL",PC.TU105.Inp!$E40))</f>
        <v>72</v>
      </c>
      <c r="I40" s="6">
        <f>IF(COUNTIF(PC.TU105.Inp!$C40:$L40,"")=10,"",IF(PC.TU105.Inp!$F40="","NULL",PC.TU105.Inp!$F40))</f>
        <v>72</v>
      </c>
      <c r="J40" s="6" t="str">
        <f>IF(COUNTIF(PC.TU105.Inp!$C40:$L40,"")=10,"",IF(PC.TU105.Inp!$G40="","NULL",""""&amp;PC.TU105.Inp!$G40&amp;""""))</f>
        <v>"Ş"</v>
      </c>
      <c r="K40" s="6" t="str">
        <f>IF(COUNTIF(PC.TU105.Inp!$C40:$L40,"")=10,"",IF(PC.TU105.Inp!$H40="","NULL",""""&amp;PC.TU105.Inp!$H40&amp;""""))</f>
        <v>"ş"</v>
      </c>
      <c r="L40" s="6" t="str">
        <f>IF(COUNTIF(PC.TU105.Inp!$C40:$L40,"")=10,"",IF(PC.TU105.Inp!$I40="","NULL",""""&amp;PC.TU105.Inp!$I40&amp;""""))</f>
        <v>NULL</v>
      </c>
      <c r="M40" s="6" t="str">
        <f>IF(COUNTIF(PC.TU105.Inp!$C40:$L40,"")=10,"",IF(PC.TU105.Inp!$J40="","NULL",""""&amp;PC.TU105.Inp!$J40&amp;""""))</f>
        <v>"´"</v>
      </c>
      <c r="N40" s="6">
        <f>IF(COUNTIF(PC.TU105.Inp!$C40:$L40,"")=10,"",IF(PC.TU105.Inp!$K40="","NULL",PC.TU105.Inp!$K40))</f>
        <v>1</v>
      </c>
      <c r="O40" s="6">
        <f>IF(COUNTIF(PC.TU105.Inp!$C40:$L40,"")=10,"",IF(PC.TU105.Inp!$L40="","NULL",PC.TU105.Inp!$L40))</f>
        <v>0</v>
      </c>
      <c r="P40" s="7" t="e">
        <f ca="1">IF(COUNTIF(PC.TU105.Inp!$C40:$L40,"")=10,"","("&amp;_xlfn.TEXTJOIN(",",FALSE,$C40:$O40)&amp;"),")</f>
        <v>#NAME?</v>
      </c>
    </row>
    <row r="41" spans="1:16" x14ac:dyDescent="0.3">
      <c r="A41" s="1" t="s">
        <v>55</v>
      </c>
      <c r="B41" s="1">
        <f t="shared" si="0"/>
        <v>40</v>
      </c>
      <c r="C41" s="6" t="str">
        <f>IF(COUNTIF(PC.TU105.Inp!$C41:$L41,"")=10,"","NULL")</f>
        <v>NULL</v>
      </c>
      <c r="D41" s="6" t="str">
        <f>IF(COUNTIF(PC.TU105.Inp!$C41:$L41,"")=10,"","NULL")</f>
        <v>NULL</v>
      </c>
      <c r="E41" s="6">
        <f>IF(COUNTIF(PC.TU105.Inp!$C41:$L41,"")=10,"",$B41)</f>
        <v>40</v>
      </c>
      <c r="F41" s="6">
        <f>IF(COUNTIF(PC.TU105.Inp!$C41:$L41,"")=10,"",IF(PC.TU105.Inp!$C41="","NULL",PC.TU105.Inp!$C41))</f>
        <v>846</v>
      </c>
      <c r="G41" s="6">
        <f>IF(COUNTIF(PC.TU105.Inp!$C41:$L41,"")=10,"",IF(PC.TU105.Inp!$D41="","NULL",PC.TU105.Inp!$D41))</f>
        <v>252</v>
      </c>
      <c r="H41" s="6">
        <f>IF(COUNTIF(PC.TU105.Inp!$C41:$L41,"")=10,"",IF(PC.TU105.Inp!$E41="","NULL",PC.TU105.Inp!$E41))</f>
        <v>72</v>
      </c>
      <c r="I41" s="6">
        <f>IF(COUNTIF(PC.TU105.Inp!$C41:$L41,"")=10,"",IF(PC.TU105.Inp!$F41="","NULL",PC.TU105.Inp!$F41))</f>
        <v>72</v>
      </c>
      <c r="J41" s="6" t="str">
        <f>IF(COUNTIF(PC.TU105.Inp!$C41:$L41,"")=10,"",IF(PC.TU105.Inp!$G41="","NULL",""""&amp;PC.TU105.Inp!$G41&amp;""""))</f>
        <v>"İ"</v>
      </c>
      <c r="K41" s="6" t="str">
        <f>IF(COUNTIF(PC.TU105.Inp!$C41:$L41,"")=10,"",IF(PC.TU105.Inp!$H41="","NULL",""""&amp;PC.TU105.Inp!$H41&amp;""""))</f>
        <v>"i"</v>
      </c>
      <c r="L41" s="6" t="str">
        <f>IF(COUNTIF(PC.TU105.Inp!$C41:$L41,"")=10,"",IF(PC.TU105.Inp!$I41="","NULL",""""&amp;PC.TU105.Inp!$I41&amp;""""))</f>
        <v>NULL</v>
      </c>
      <c r="M41" s="6" t="str">
        <f>IF(COUNTIF(PC.TU105.Inp!$C41:$L41,"")=10,"",IF(PC.TU105.Inp!$J41="","NULL",""""&amp;PC.TU105.Inp!$J41&amp;""""))</f>
        <v>NULL</v>
      </c>
      <c r="N41" s="6">
        <f>IF(COUNTIF(PC.TU105.Inp!$C41:$L41,"")=10,"",IF(PC.TU105.Inp!$K41="","NULL",PC.TU105.Inp!$K41))</f>
        <v>1</v>
      </c>
      <c r="O41" s="6">
        <f>IF(COUNTIF(PC.TU105.Inp!$C41:$L41,"")=10,"",IF(PC.TU105.Inp!$L41="","NULL",PC.TU105.Inp!$L41))</f>
        <v>0</v>
      </c>
      <c r="P41" s="7" t="e">
        <f ca="1">IF(COUNTIF(PC.TU105.Inp!$C41:$L41,"")=10,"","("&amp;_xlfn.TEXTJOIN(",",FALSE,$C41:$O41)&amp;"),")</f>
        <v>#NAME?</v>
      </c>
    </row>
    <row r="42" spans="1:16" x14ac:dyDescent="0.3">
      <c r="A42" s="1" t="s">
        <v>110</v>
      </c>
      <c r="B42" s="1">
        <f t="shared" si="0"/>
        <v>41</v>
      </c>
      <c r="C42" s="6" t="str">
        <f>IF(COUNTIF(PC.TU105.Inp!$C42:$L42,"")=10,"","NULL")</f>
        <v>NULL</v>
      </c>
      <c r="D42" s="6" t="str">
        <f>IF(COUNTIF(PC.TU105.Inp!$C42:$L42,"")=10,"","NULL")</f>
        <v>NULL</v>
      </c>
      <c r="E42" s="6">
        <f>IF(COUNTIF(PC.TU105.Inp!$C42:$L42,"")=10,"",$B42)</f>
        <v>41</v>
      </c>
      <c r="F42" s="6">
        <f>IF(COUNTIF(PC.TU105.Inp!$C42:$L42,"")=10,"",IF(PC.TU105.Inp!$C42="","NULL",PC.TU105.Inp!$C42))</f>
        <v>918</v>
      </c>
      <c r="G42" s="6">
        <f>IF(COUNTIF(PC.TU105.Inp!$C42:$L42,"")=10,"",IF(PC.TU105.Inp!$D42="","NULL",PC.TU105.Inp!$D42))</f>
        <v>252</v>
      </c>
      <c r="H42" s="6">
        <f>IF(COUNTIF(PC.TU105.Inp!$C42:$L42,"")=10,"",IF(PC.TU105.Inp!$E42="","NULL",PC.TU105.Inp!$E42))</f>
        <v>72</v>
      </c>
      <c r="I42" s="6">
        <f>IF(COUNTIF(PC.TU105.Inp!$C42:$L42,"")=10,"",IF(PC.TU105.Inp!$F42="","NULL",PC.TU105.Inp!$F42))</f>
        <v>72</v>
      </c>
      <c r="J42" s="6" t="str">
        <f>IF(COUNTIF(PC.TU105.Inp!$C42:$L42,"")=10,"",IF(PC.TU105.Inp!$G42="","NULL",""""&amp;PC.TU105.Inp!$G42&amp;""""))</f>
        <v>";"</v>
      </c>
      <c r="K42" s="6" t="str">
        <f>IF(COUNTIF(PC.TU105.Inp!$C42:$L42,"")=10,"",IF(PC.TU105.Inp!$H42="","NULL",""""&amp;PC.TU105.Inp!$H42&amp;""""))</f>
        <v>","</v>
      </c>
      <c r="L42" s="6" t="str">
        <f>IF(COUNTIF(PC.TU105.Inp!$C42:$L42,"")=10,"",IF(PC.TU105.Inp!$I42="","NULL",""""&amp;PC.TU105.Inp!$I42&amp;""""))</f>
        <v>NULL</v>
      </c>
      <c r="M42" s="6" t="str">
        <f>IF(COUNTIF(PC.TU105.Inp!$C42:$L42,"")=10,"",IF(PC.TU105.Inp!$J42="","NULL",""""&amp;PC.TU105.Inp!$J42&amp;""""))</f>
        <v>"`"</v>
      </c>
      <c r="N42" s="6">
        <f>IF(COUNTIF(PC.TU105.Inp!$C42:$L42,"")=10,"",IF(PC.TU105.Inp!$K42="","NULL",PC.TU105.Inp!$K42))</f>
        <v>0</v>
      </c>
      <c r="O42" s="6">
        <f>IF(COUNTIF(PC.TU105.Inp!$C42:$L42,"")=10,"",IF(PC.TU105.Inp!$L42="","NULL",PC.TU105.Inp!$L42))</f>
        <v>0</v>
      </c>
      <c r="P42" s="7" t="e">
        <f ca="1">IF(COUNTIF(PC.TU105.Inp!$C42:$L42,"")=10,"","("&amp;_xlfn.TEXTJOIN(",",FALSE,$C42:$O42)&amp;"),")</f>
        <v>#NAME?</v>
      </c>
    </row>
    <row r="43" spans="1:16" x14ac:dyDescent="0.3">
      <c r="A43" s="1" t="s">
        <v>167</v>
      </c>
      <c r="B43" s="1">
        <f t="shared" si="0"/>
        <v>42</v>
      </c>
      <c r="C43" s="6" t="str">
        <f>IF(COUNTIF(PC.TU105.Inp!$C43:$L43,"")=10,"","NULL")</f>
        <v>NULL</v>
      </c>
      <c r="D43" s="6" t="str">
        <f>IF(COUNTIF(PC.TU105.Inp!$C43:$L43,"")=10,"","NULL")</f>
        <v>NULL</v>
      </c>
      <c r="E43" s="6">
        <f>IF(COUNTIF(PC.TU105.Inp!$C43:$L43,"")=10,"",$B43)</f>
        <v>42</v>
      </c>
      <c r="F43" s="6">
        <f>IF(COUNTIF(PC.TU105.Inp!$C43:$L43,"")=10,"",IF(PC.TU105.Inp!$C43="","NULL",PC.TU105.Inp!$C43))</f>
        <v>990</v>
      </c>
      <c r="G43" s="6">
        <f>IF(COUNTIF(PC.TU105.Inp!$C43:$L43,"")=10,"",IF(PC.TU105.Inp!$D43="","NULL",PC.TU105.Inp!$D43))</f>
        <v>180</v>
      </c>
      <c r="H43" s="6">
        <f>IF(COUNTIF(PC.TU105.Inp!$C43:$L43,"")=10,"",IF(PC.TU105.Inp!$E43="","NULL",PC.TU105.Inp!$E43))</f>
        <v>90</v>
      </c>
      <c r="I43" s="6">
        <f>IF(COUNTIF(PC.TU105.Inp!$C43:$L43,"")=10,"",IF(PC.TU105.Inp!$F43="","NULL",PC.TU105.Inp!$F43))</f>
        <v>144</v>
      </c>
      <c r="J43" s="6" t="str">
        <f>IF(COUNTIF(PC.TU105.Inp!$C43:$L43,"")=10,"",IF(PC.TU105.Inp!$G43="","NULL",""""&amp;PC.TU105.Inp!$G43&amp;""""))</f>
        <v>NULL</v>
      </c>
      <c r="K43" s="6" t="str">
        <f>IF(COUNTIF(PC.TU105.Inp!$C43:$L43,"")=10,"",IF(PC.TU105.Inp!$H43="","NULL",""""&amp;PC.TU105.Inp!$H43&amp;""""))</f>
        <v>"Enter"</v>
      </c>
      <c r="L43" s="6" t="str">
        <f>IF(COUNTIF(PC.TU105.Inp!$C43:$L43,"")=10,"",IF(PC.TU105.Inp!$I43="","NULL",""""&amp;PC.TU105.Inp!$I43&amp;""""))</f>
        <v>NULL</v>
      </c>
      <c r="M43" s="6" t="str">
        <f>IF(COUNTIF(PC.TU105.Inp!$C43:$L43,"")=10,"",IF(PC.TU105.Inp!$J43="","NULL",""""&amp;PC.TU105.Inp!$J43&amp;""""))</f>
        <v>NULL</v>
      </c>
      <c r="N43" s="6">
        <f>IF(COUNTIF(PC.TU105.Inp!$C43:$L43,"")=10,"",IF(PC.TU105.Inp!$K43="","NULL",PC.TU105.Inp!$K43))</f>
        <v>0</v>
      </c>
      <c r="O43" s="6">
        <f>IF(COUNTIF(PC.TU105.Inp!$C43:$L43,"")=10,"",IF(PC.TU105.Inp!$L43="","NULL",PC.TU105.Inp!$L43))</f>
        <v>0</v>
      </c>
      <c r="P43" s="7" t="e">
        <f ca="1">IF(COUNTIF(PC.TU105.Inp!$C43:$L43,"")=10,"","("&amp;_xlfn.TEXTJOIN(",",FALSE,$C43:$O43)&amp;"),")</f>
        <v>#NAME?</v>
      </c>
    </row>
    <row r="44" spans="1:16" x14ac:dyDescent="0.3">
      <c r="A44" s="1" t="s">
        <v>168</v>
      </c>
      <c r="B44" s="1">
        <f t="shared" si="0"/>
        <v>43</v>
      </c>
      <c r="C44" s="6" t="str">
        <f>IF(COUNTIF(PC.TU105.Inp!$C44:$L44,"")=10,"","NULL")</f>
        <v>NULL</v>
      </c>
      <c r="D44" s="6" t="str">
        <f>IF(COUNTIF(PC.TU105.Inp!$C44:$L44,"")=10,"","NULL")</f>
        <v>NULL</v>
      </c>
      <c r="E44" s="6">
        <f>IF(COUNTIF(PC.TU105.Inp!$C44:$L44,"")=10,"",$B44)</f>
        <v>43</v>
      </c>
      <c r="F44" s="6">
        <f>IF(COUNTIF(PC.TU105.Inp!$C44:$L44,"")=10,"",IF(PC.TU105.Inp!$C44="","NULL",PC.TU105.Inp!$C44))</f>
        <v>0</v>
      </c>
      <c r="G44" s="6">
        <f>IF(COUNTIF(PC.TU105.Inp!$C44:$L44,"")=10,"",IF(PC.TU105.Inp!$D44="","NULL",PC.TU105.Inp!$D44))</f>
        <v>324</v>
      </c>
      <c r="H44" s="6">
        <f>IF(COUNTIF(PC.TU105.Inp!$C44:$L44,"")=10,"",IF(PC.TU105.Inp!$E44="","NULL",PC.TU105.Inp!$E44))</f>
        <v>90</v>
      </c>
      <c r="I44" s="6">
        <f>IF(COUNTIF(PC.TU105.Inp!$C44:$L44,"")=10,"",IF(PC.TU105.Inp!$F44="","NULL",PC.TU105.Inp!$F44))</f>
        <v>72</v>
      </c>
      <c r="J44" s="6" t="str">
        <f>IF(COUNTIF(PC.TU105.Inp!$C44:$L44,"")=10,"",IF(PC.TU105.Inp!$G44="","NULL",""""&amp;PC.TU105.Inp!$G44&amp;""""))</f>
        <v>NULL</v>
      </c>
      <c r="K44" s="6" t="str">
        <f>IF(COUNTIF(PC.TU105.Inp!$C44:$L44,"")=10,"",IF(PC.TU105.Inp!$H44="","NULL",""""&amp;PC.TU105.Inp!$H44&amp;""""))</f>
        <v>"LShift"</v>
      </c>
      <c r="L44" s="6" t="str">
        <f>IF(COUNTIF(PC.TU105.Inp!$C44:$L44,"")=10,"",IF(PC.TU105.Inp!$I44="","NULL",""""&amp;PC.TU105.Inp!$I44&amp;""""))</f>
        <v>NULL</v>
      </c>
      <c r="M44" s="6" t="str">
        <f>IF(COUNTIF(PC.TU105.Inp!$C44:$L44,"")=10,"",IF(PC.TU105.Inp!$J44="","NULL",""""&amp;PC.TU105.Inp!$J44&amp;""""))</f>
        <v>NULL</v>
      </c>
      <c r="N44" s="6">
        <f>IF(COUNTIF(PC.TU105.Inp!$C44:$L44,"")=10,"",IF(PC.TU105.Inp!$K44="","NULL",PC.TU105.Inp!$K44))</f>
        <v>0</v>
      </c>
      <c r="O44" s="6">
        <f>IF(COUNTIF(PC.TU105.Inp!$C44:$L44,"")=10,"",IF(PC.TU105.Inp!$L44="","NULL",PC.TU105.Inp!$L44))</f>
        <v>0</v>
      </c>
      <c r="P44" s="7" t="e">
        <f ca="1">IF(COUNTIF(PC.TU105.Inp!$C44:$L44,"")=10,"","("&amp;_xlfn.TEXTJOIN(",",FALSE,$C44:$O44)&amp;"),")</f>
        <v>#NAME?</v>
      </c>
    </row>
    <row r="45" spans="1:16" x14ac:dyDescent="0.3">
      <c r="A45" s="1" t="s">
        <v>92</v>
      </c>
      <c r="B45" s="1">
        <f t="shared" si="0"/>
        <v>44</v>
      </c>
      <c r="C45" s="6" t="str">
        <f>IF(COUNTIF(PC.TU105.Inp!$C45:$L45,"")=10,"","NULL")</f>
        <v>NULL</v>
      </c>
      <c r="D45" s="6" t="str">
        <f>IF(COUNTIF(PC.TU105.Inp!$C45:$L45,"")=10,"","NULL")</f>
        <v>NULL</v>
      </c>
      <c r="E45" s="6">
        <f>IF(COUNTIF(PC.TU105.Inp!$C45:$L45,"")=10,"",$B45)</f>
        <v>44</v>
      </c>
      <c r="F45" s="6">
        <f>IF(COUNTIF(PC.TU105.Inp!$C45:$L45,"")=10,"",IF(PC.TU105.Inp!$C45="","NULL",PC.TU105.Inp!$C45))</f>
        <v>90</v>
      </c>
      <c r="G45" s="6">
        <f>IF(COUNTIF(PC.TU105.Inp!$C45:$L45,"")=10,"",IF(PC.TU105.Inp!$D45="","NULL",PC.TU105.Inp!$D45))</f>
        <v>324</v>
      </c>
      <c r="H45" s="6">
        <f>IF(COUNTIF(PC.TU105.Inp!$C45:$L45,"")=10,"",IF(PC.TU105.Inp!$E45="","NULL",PC.TU105.Inp!$E45))</f>
        <v>72</v>
      </c>
      <c r="I45" s="6">
        <f>IF(COUNTIF(PC.TU105.Inp!$C45:$L45,"")=10,"",IF(PC.TU105.Inp!$F45="","NULL",PC.TU105.Inp!$F45))</f>
        <v>72</v>
      </c>
      <c r="J45" s="6" t="str">
        <f>IF(COUNTIF(PC.TU105.Inp!$C45:$L45,"")=10,"",IF(PC.TU105.Inp!$G45="","NULL",""""&amp;PC.TU105.Inp!$G45&amp;""""))</f>
        <v>"&gt;"</v>
      </c>
      <c r="K45" s="6" t="str">
        <f>IF(COUNTIF(PC.TU105.Inp!$C45:$L45,"")=10,"",IF(PC.TU105.Inp!$H45="","NULL",""""&amp;PC.TU105.Inp!$H45&amp;""""))</f>
        <v>"&lt;"</v>
      </c>
      <c r="L45" s="6" t="str">
        <f>IF(COUNTIF(PC.TU105.Inp!$C45:$L45,"")=10,"",IF(PC.TU105.Inp!$I45="","NULL",""""&amp;PC.TU105.Inp!$I45&amp;""""))</f>
        <v>NULL</v>
      </c>
      <c r="M45" s="6" t="str">
        <f>IF(COUNTIF(PC.TU105.Inp!$C45:$L45,"")=10,"",IF(PC.TU105.Inp!$J45="","NULL",""""&amp;PC.TU105.Inp!$J45&amp;""""))</f>
        <v>"|"</v>
      </c>
      <c r="N45" s="6">
        <f>IF(COUNTIF(PC.TU105.Inp!$C45:$L45,"")=10,"",IF(PC.TU105.Inp!$K45="","NULL",PC.TU105.Inp!$K45))</f>
        <v>0</v>
      </c>
      <c r="O45" s="6">
        <f>IF(COUNTIF(PC.TU105.Inp!$C45:$L45,"")=10,"",IF(PC.TU105.Inp!$L45="","NULL",PC.TU105.Inp!$L45))</f>
        <v>0</v>
      </c>
      <c r="P45" s="7" t="e">
        <f ca="1">IF(COUNTIF(PC.TU105.Inp!$C45:$L45,"")=10,"","("&amp;_xlfn.TEXTJOIN(",",FALSE,$C45:$O45)&amp;"),")</f>
        <v>#NAME?</v>
      </c>
    </row>
    <row r="46" spans="1:16" x14ac:dyDescent="0.3">
      <c r="A46" s="1" t="s">
        <v>51</v>
      </c>
      <c r="B46" s="1">
        <f t="shared" si="0"/>
        <v>45</v>
      </c>
      <c r="C46" s="6" t="str">
        <f>IF(COUNTIF(PC.TU105.Inp!$C46:$L46,"")=10,"","NULL")</f>
        <v>NULL</v>
      </c>
      <c r="D46" s="6" t="str">
        <f>IF(COUNTIF(PC.TU105.Inp!$C46:$L46,"")=10,"","NULL")</f>
        <v>NULL</v>
      </c>
      <c r="E46" s="6">
        <f>IF(COUNTIF(PC.TU105.Inp!$C46:$L46,"")=10,"",$B46)</f>
        <v>45</v>
      </c>
      <c r="F46" s="6">
        <f>IF(COUNTIF(PC.TU105.Inp!$C46:$L46,"")=10,"",IF(PC.TU105.Inp!$C46="","NULL",PC.TU105.Inp!$C46))</f>
        <v>162</v>
      </c>
      <c r="G46" s="6">
        <f>IF(COUNTIF(PC.TU105.Inp!$C46:$L46,"")=10,"",IF(PC.TU105.Inp!$D46="","NULL",PC.TU105.Inp!$D46))</f>
        <v>324</v>
      </c>
      <c r="H46" s="6">
        <f>IF(COUNTIF(PC.TU105.Inp!$C46:$L46,"")=10,"",IF(PC.TU105.Inp!$E46="","NULL",PC.TU105.Inp!$E46))</f>
        <v>72</v>
      </c>
      <c r="I46" s="6">
        <f>IF(COUNTIF(PC.TU105.Inp!$C46:$L46,"")=10,"",IF(PC.TU105.Inp!$F46="","NULL",PC.TU105.Inp!$F46))</f>
        <v>72</v>
      </c>
      <c r="J46" s="6" t="str">
        <f>IF(COUNTIF(PC.TU105.Inp!$C46:$L46,"")=10,"",IF(PC.TU105.Inp!$G46="","NULL",""""&amp;PC.TU105.Inp!$G46&amp;""""))</f>
        <v>"Y"</v>
      </c>
      <c r="K46" s="6" t="str">
        <f>IF(COUNTIF(PC.TU105.Inp!$C46:$L46,"")=10,"",IF(PC.TU105.Inp!$H46="","NULL",""""&amp;PC.TU105.Inp!$H46&amp;""""))</f>
        <v>"z"</v>
      </c>
      <c r="L46" s="6" t="str">
        <f>IF(COUNTIF(PC.TU105.Inp!$C46:$L46,"")=10,"",IF(PC.TU105.Inp!$I46="","NULL",""""&amp;PC.TU105.Inp!$I46&amp;""""))</f>
        <v>NULL</v>
      </c>
      <c r="M46" s="6" t="str">
        <f>IF(COUNTIF(PC.TU105.Inp!$C46:$L46,"")=10,"",IF(PC.TU105.Inp!$J46="","NULL",""""&amp;PC.TU105.Inp!$J46&amp;""""))</f>
        <v>NULL</v>
      </c>
      <c r="N46" s="6">
        <f>IF(COUNTIF(PC.TU105.Inp!$C46:$L46,"")=10,"",IF(PC.TU105.Inp!$K46="","NULL",PC.TU105.Inp!$K46))</f>
        <v>1</v>
      </c>
      <c r="O46" s="6">
        <f>IF(COUNTIF(PC.TU105.Inp!$C46:$L46,"")=10,"",IF(PC.TU105.Inp!$L46="","NULL",PC.TU105.Inp!$L46))</f>
        <v>0</v>
      </c>
      <c r="P46" s="7" t="e">
        <f ca="1">IF(COUNTIF(PC.TU105.Inp!$C46:$L46,"")=10,"","("&amp;_xlfn.TEXTJOIN(",",FALSE,$C46:$O46)&amp;"),")</f>
        <v>#NAME?</v>
      </c>
    </row>
    <row r="47" spans="1:16" x14ac:dyDescent="0.3">
      <c r="A47" s="1" t="s">
        <v>97</v>
      </c>
      <c r="B47" s="1">
        <f t="shared" si="0"/>
        <v>46</v>
      </c>
      <c r="C47" s="6" t="str">
        <f>IF(COUNTIF(PC.TU105.Inp!$C47:$L47,"")=10,"","NULL")</f>
        <v>NULL</v>
      </c>
      <c r="D47" s="6" t="str">
        <f>IF(COUNTIF(PC.TU105.Inp!$C47:$L47,"")=10,"","NULL")</f>
        <v>NULL</v>
      </c>
      <c r="E47" s="6">
        <f>IF(COUNTIF(PC.TU105.Inp!$C47:$L47,"")=10,"",$B47)</f>
        <v>46</v>
      </c>
      <c r="F47" s="6">
        <f>IF(COUNTIF(PC.TU105.Inp!$C47:$L47,"")=10,"",IF(PC.TU105.Inp!$C47="","NULL",PC.TU105.Inp!$C47))</f>
        <v>234</v>
      </c>
      <c r="G47" s="6">
        <f>IF(COUNTIF(PC.TU105.Inp!$C47:$L47,"")=10,"",IF(PC.TU105.Inp!$D47="","NULL",PC.TU105.Inp!$D47))</f>
        <v>324</v>
      </c>
      <c r="H47" s="6">
        <f>IF(COUNTIF(PC.TU105.Inp!$C47:$L47,"")=10,"",IF(PC.TU105.Inp!$E47="","NULL",PC.TU105.Inp!$E47))</f>
        <v>72</v>
      </c>
      <c r="I47" s="6">
        <f>IF(COUNTIF(PC.TU105.Inp!$C47:$L47,"")=10,"",IF(PC.TU105.Inp!$F47="","NULL",PC.TU105.Inp!$F47))</f>
        <v>72</v>
      </c>
      <c r="J47" s="6" t="str">
        <f>IF(COUNTIF(PC.TU105.Inp!$C47:$L47,"")=10,"",IF(PC.TU105.Inp!$G47="","NULL",""""&amp;PC.TU105.Inp!$G47&amp;""""))</f>
        <v>"X"</v>
      </c>
      <c r="K47" s="6" t="str">
        <f>IF(COUNTIF(PC.TU105.Inp!$C47:$L47,"")=10,"",IF(PC.TU105.Inp!$H47="","NULL",""""&amp;PC.TU105.Inp!$H47&amp;""""))</f>
        <v>"x"</v>
      </c>
      <c r="L47" s="6" t="str">
        <f>IF(COUNTIF(PC.TU105.Inp!$C47:$L47,"")=10,"",IF(PC.TU105.Inp!$I47="","NULL",""""&amp;PC.TU105.Inp!$I47&amp;""""))</f>
        <v>NULL</v>
      </c>
      <c r="M47" s="6" t="str">
        <f>IF(COUNTIF(PC.TU105.Inp!$C47:$L47,"")=10,"",IF(PC.TU105.Inp!$J47="","NULL",""""&amp;PC.TU105.Inp!$J47&amp;""""))</f>
        <v>NULL</v>
      </c>
      <c r="N47" s="6">
        <f>IF(COUNTIF(PC.TU105.Inp!$C47:$L47,"")=10,"",IF(PC.TU105.Inp!$K47="","NULL",PC.TU105.Inp!$K47))</f>
        <v>1</v>
      </c>
      <c r="O47" s="6">
        <f>IF(COUNTIF(PC.TU105.Inp!$C47:$L47,"")=10,"",IF(PC.TU105.Inp!$L47="","NULL",PC.TU105.Inp!$L47))</f>
        <v>0</v>
      </c>
      <c r="P47" s="7" t="e">
        <f ca="1">IF(COUNTIF(PC.TU105.Inp!$C47:$L47,"")=10,"","("&amp;_xlfn.TEXTJOIN(",",FALSE,$C47:$O47)&amp;"),")</f>
        <v>#NAME?</v>
      </c>
    </row>
    <row r="48" spans="1:16" x14ac:dyDescent="0.3">
      <c r="A48" s="1" t="s">
        <v>99</v>
      </c>
      <c r="B48" s="1">
        <f t="shared" si="0"/>
        <v>47</v>
      </c>
      <c r="C48" s="6" t="str">
        <f>IF(COUNTIF(PC.TU105.Inp!$C48:$L48,"")=10,"","NULL")</f>
        <v>NULL</v>
      </c>
      <c r="D48" s="6" t="str">
        <f>IF(COUNTIF(PC.TU105.Inp!$C48:$L48,"")=10,"","NULL")</f>
        <v>NULL</v>
      </c>
      <c r="E48" s="6">
        <f>IF(COUNTIF(PC.TU105.Inp!$C48:$L48,"")=10,"",$B48)</f>
        <v>47</v>
      </c>
      <c r="F48" s="6">
        <f>IF(COUNTIF(PC.TU105.Inp!$C48:$L48,"")=10,"",IF(PC.TU105.Inp!$C48="","NULL",PC.TU105.Inp!$C48))</f>
        <v>306</v>
      </c>
      <c r="G48" s="6">
        <f>IF(COUNTIF(PC.TU105.Inp!$C48:$L48,"")=10,"",IF(PC.TU105.Inp!$D48="","NULL",PC.TU105.Inp!$D48))</f>
        <v>324</v>
      </c>
      <c r="H48" s="6">
        <f>IF(COUNTIF(PC.TU105.Inp!$C48:$L48,"")=10,"",IF(PC.TU105.Inp!$E48="","NULL",PC.TU105.Inp!$E48))</f>
        <v>72</v>
      </c>
      <c r="I48" s="6">
        <f>IF(COUNTIF(PC.TU105.Inp!$C48:$L48,"")=10,"",IF(PC.TU105.Inp!$F48="","NULL",PC.TU105.Inp!$F48))</f>
        <v>72</v>
      </c>
      <c r="J48" s="6" t="str">
        <f>IF(COUNTIF(PC.TU105.Inp!$C48:$L48,"")=10,"",IF(PC.TU105.Inp!$G48="","NULL",""""&amp;PC.TU105.Inp!$G48&amp;""""))</f>
        <v>"C"</v>
      </c>
      <c r="K48" s="6" t="str">
        <f>IF(COUNTIF(PC.TU105.Inp!$C48:$L48,"")=10,"",IF(PC.TU105.Inp!$H48="","NULL",""""&amp;PC.TU105.Inp!$H48&amp;""""))</f>
        <v>"c"</v>
      </c>
      <c r="L48" s="6" t="str">
        <f>IF(COUNTIF(PC.TU105.Inp!$C48:$L48,"")=10,"",IF(PC.TU105.Inp!$I48="","NULL",""""&amp;PC.TU105.Inp!$I48&amp;""""))</f>
        <v>NULL</v>
      </c>
      <c r="M48" s="6" t="str">
        <f>IF(COUNTIF(PC.TU105.Inp!$C48:$L48,"")=10,"",IF(PC.TU105.Inp!$J48="","NULL",""""&amp;PC.TU105.Inp!$J48&amp;""""))</f>
        <v>NULL</v>
      </c>
      <c r="N48" s="6">
        <f>IF(COUNTIF(PC.TU105.Inp!$C48:$L48,"")=10,"",IF(PC.TU105.Inp!$K48="","NULL",PC.TU105.Inp!$K48))</f>
        <v>1</v>
      </c>
      <c r="O48" s="6">
        <f>IF(COUNTIF(PC.TU105.Inp!$C48:$L48,"")=10,"",IF(PC.TU105.Inp!$L48="","NULL",PC.TU105.Inp!$L48))</f>
        <v>0</v>
      </c>
      <c r="P48" s="7" t="e">
        <f ca="1">IF(COUNTIF(PC.TU105.Inp!$C48:$L48,"")=10,"","("&amp;_xlfn.TEXTJOIN(",",FALSE,$C48:$O48)&amp;"),")</f>
        <v>#NAME?</v>
      </c>
    </row>
    <row r="49" spans="1:16" x14ac:dyDescent="0.3">
      <c r="A49" s="1" t="s">
        <v>101</v>
      </c>
      <c r="B49" s="1">
        <f t="shared" si="0"/>
        <v>48</v>
      </c>
      <c r="C49" s="6" t="str">
        <f>IF(COUNTIF(PC.TU105.Inp!$C49:$L49,"")=10,"","NULL")</f>
        <v>NULL</v>
      </c>
      <c r="D49" s="6" t="str">
        <f>IF(COUNTIF(PC.TU105.Inp!$C49:$L49,"")=10,"","NULL")</f>
        <v>NULL</v>
      </c>
      <c r="E49" s="6">
        <f>IF(COUNTIF(PC.TU105.Inp!$C49:$L49,"")=10,"",$B49)</f>
        <v>48</v>
      </c>
      <c r="F49" s="6">
        <f>IF(COUNTIF(PC.TU105.Inp!$C49:$L49,"")=10,"",IF(PC.TU105.Inp!$C49="","NULL",PC.TU105.Inp!$C49))</f>
        <v>378</v>
      </c>
      <c r="G49" s="6">
        <f>IF(COUNTIF(PC.TU105.Inp!$C49:$L49,"")=10,"",IF(PC.TU105.Inp!$D49="","NULL",PC.TU105.Inp!$D49))</f>
        <v>324</v>
      </c>
      <c r="H49" s="6">
        <f>IF(COUNTIF(PC.TU105.Inp!$C49:$L49,"")=10,"",IF(PC.TU105.Inp!$E49="","NULL",PC.TU105.Inp!$E49))</f>
        <v>72</v>
      </c>
      <c r="I49" s="6">
        <f>IF(COUNTIF(PC.TU105.Inp!$C49:$L49,"")=10,"",IF(PC.TU105.Inp!$F49="","NULL",PC.TU105.Inp!$F49))</f>
        <v>72</v>
      </c>
      <c r="J49" s="6" t="str">
        <f>IF(COUNTIF(PC.TU105.Inp!$C49:$L49,"")=10,"",IF(PC.TU105.Inp!$G49="","NULL",""""&amp;PC.TU105.Inp!$G49&amp;""""))</f>
        <v>"V"</v>
      </c>
      <c r="K49" s="6" t="str">
        <f>IF(COUNTIF(PC.TU105.Inp!$C49:$L49,"")=10,"",IF(PC.TU105.Inp!$H49="","NULL",""""&amp;PC.TU105.Inp!$H49&amp;""""))</f>
        <v>"v"</v>
      </c>
      <c r="L49" s="6" t="str">
        <f>IF(COUNTIF(PC.TU105.Inp!$C49:$L49,"")=10,"",IF(PC.TU105.Inp!$I49="","NULL",""""&amp;PC.TU105.Inp!$I49&amp;""""))</f>
        <v>NULL</v>
      </c>
      <c r="M49" s="6" t="str">
        <f>IF(COUNTIF(PC.TU105.Inp!$C49:$L49,"")=10,"",IF(PC.TU105.Inp!$J49="","NULL",""""&amp;PC.TU105.Inp!$J49&amp;""""))</f>
        <v>NULL</v>
      </c>
      <c r="N49" s="6">
        <f>IF(COUNTIF(PC.TU105.Inp!$C49:$L49,"")=10,"",IF(PC.TU105.Inp!$K49="","NULL",PC.TU105.Inp!$K49))</f>
        <v>1</v>
      </c>
      <c r="O49" s="6">
        <f>IF(COUNTIF(PC.TU105.Inp!$C49:$L49,"")=10,"",IF(PC.TU105.Inp!$L49="","NULL",PC.TU105.Inp!$L49))</f>
        <v>0</v>
      </c>
      <c r="P49" s="7" t="e">
        <f ca="1">IF(COUNTIF(PC.TU105.Inp!$C49:$L49,"")=10,"","("&amp;_xlfn.TEXTJOIN(",",FALSE,$C49:$O49)&amp;"),")</f>
        <v>#NAME?</v>
      </c>
    </row>
    <row r="50" spans="1:16" x14ac:dyDescent="0.3">
      <c r="A50" s="1" t="s">
        <v>103</v>
      </c>
      <c r="B50" s="1">
        <f t="shared" si="0"/>
        <v>49</v>
      </c>
      <c r="C50" s="6" t="str">
        <f>IF(COUNTIF(PC.TU105.Inp!$C50:$L50,"")=10,"","NULL")</f>
        <v>NULL</v>
      </c>
      <c r="D50" s="6" t="str">
        <f>IF(COUNTIF(PC.TU105.Inp!$C50:$L50,"")=10,"","NULL")</f>
        <v>NULL</v>
      </c>
      <c r="E50" s="6">
        <f>IF(COUNTIF(PC.TU105.Inp!$C50:$L50,"")=10,"",$B50)</f>
        <v>49</v>
      </c>
      <c r="F50" s="6">
        <f>IF(COUNTIF(PC.TU105.Inp!$C50:$L50,"")=10,"",IF(PC.TU105.Inp!$C50="","NULL",PC.TU105.Inp!$C50))</f>
        <v>450</v>
      </c>
      <c r="G50" s="6">
        <f>IF(COUNTIF(PC.TU105.Inp!$C50:$L50,"")=10,"",IF(PC.TU105.Inp!$D50="","NULL",PC.TU105.Inp!$D50))</f>
        <v>324</v>
      </c>
      <c r="H50" s="6">
        <f>IF(COUNTIF(PC.TU105.Inp!$C50:$L50,"")=10,"",IF(PC.TU105.Inp!$E50="","NULL",PC.TU105.Inp!$E50))</f>
        <v>72</v>
      </c>
      <c r="I50" s="6">
        <f>IF(COUNTIF(PC.TU105.Inp!$C50:$L50,"")=10,"",IF(PC.TU105.Inp!$F50="","NULL",PC.TU105.Inp!$F50))</f>
        <v>72</v>
      </c>
      <c r="J50" s="6" t="str">
        <f>IF(COUNTIF(PC.TU105.Inp!$C50:$L50,"")=10,"",IF(PC.TU105.Inp!$G50="","NULL",""""&amp;PC.TU105.Inp!$G50&amp;""""))</f>
        <v>"B"</v>
      </c>
      <c r="K50" s="6" t="str">
        <f>IF(COUNTIF(PC.TU105.Inp!$C50:$L50,"")=10,"",IF(PC.TU105.Inp!$H50="","NULL",""""&amp;PC.TU105.Inp!$H50&amp;""""))</f>
        <v>"b"</v>
      </c>
      <c r="L50" s="6" t="str">
        <f>IF(COUNTIF(PC.TU105.Inp!$C50:$L50,"")=10,"",IF(PC.TU105.Inp!$I50="","NULL",""""&amp;PC.TU105.Inp!$I50&amp;""""))</f>
        <v>NULL</v>
      </c>
      <c r="M50" s="6" t="str">
        <f>IF(COUNTIF(PC.TU105.Inp!$C50:$L50,"")=10,"",IF(PC.TU105.Inp!$J50="","NULL",""""&amp;PC.TU105.Inp!$J50&amp;""""))</f>
        <v>NULL</v>
      </c>
      <c r="N50" s="6">
        <f>IF(COUNTIF(PC.TU105.Inp!$C50:$L50,"")=10,"",IF(PC.TU105.Inp!$K50="","NULL",PC.TU105.Inp!$K50))</f>
        <v>1</v>
      </c>
      <c r="O50" s="6">
        <f>IF(COUNTIF(PC.TU105.Inp!$C50:$L50,"")=10,"",IF(PC.TU105.Inp!$L50="","NULL",PC.TU105.Inp!$L50))</f>
        <v>0</v>
      </c>
      <c r="P50" s="7" t="e">
        <f ca="1">IF(COUNTIF(PC.TU105.Inp!$C50:$L50,"")=10,"","("&amp;_xlfn.TEXTJOIN(",",FALSE,$C50:$O50)&amp;"),")</f>
        <v>#NAME?</v>
      </c>
    </row>
    <row r="51" spans="1:16" x14ac:dyDescent="0.3">
      <c r="A51" s="1" t="s">
        <v>105</v>
      </c>
      <c r="B51" s="1">
        <f t="shared" si="0"/>
        <v>50</v>
      </c>
      <c r="C51" s="6" t="str">
        <f>IF(COUNTIF(PC.TU105.Inp!$C51:$L51,"")=10,"","NULL")</f>
        <v>NULL</v>
      </c>
      <c r="D51" s="6" t="str">
        <f>IF(COUNTIF(PC.TU105.Inp!$C51:$L51,"")=10,"","NULL")</f>
        <v>NULL</v>
      </c>
      <c r="E51" s="6">
        <f>IF(COUNTIF(PC.TU105.Inp!$C51:$L51,"")=10,"",$B51)</f>
        <v>50</v>
      </c>
      <c r="F51" s="6">
        <f>IF(COUNTIF(PC.TU105.Inp!$C51:$L51,"")=10,"",IF(PC.TU105.Inp!$C51="","NULL",PC.TU105.Inp!$C51))</f>
        <v>522</v>
      </c>
      <c r="G51" s="6">
        <f>IF(COUNTIF(PC.TU105.Inp!$C51:$L51,"")=10,"",IF(PC.TU105.Inp!$D51="","NULL",PC.TU105.Inp!$D51))</f>
        <v>324</v>
      </c>
      <c r="H51" s="6">
        <f>IF(COUNTIF(PC.TU105.Inp!$C51:$L51,"")=10,"",IF(PC.TU105.Inp!$E51="","NULL",PC.TU105.Inp!$E51))</f>
        <v>72</v>
      </c>
      <c r="I51" s="6">
        <f>IF(COUNTIF(PC.TU105.Inp!$C51:$L51,"")=10,"",IF(PC.TU105.Inp!$F51="","NULL",PC.TU105.Inp!$F51))</f>
        <v>72</v>
      </c>
      <c r="J51" s="6" t="str">
        <f>IF(COUNTIF(PC.TU105.Inp!$C51:$L51,"")=10,"",IF(PC.TU105.Inp!$G51="","NULL",""""&amp;PC.TU105.Inp!$G51&amp;""""))</f>
        <v>"N"</v>
      </c>
      <c r="K51" s="6" t="str">
        <f>IF(COUNTIF(PC.TU105.Inp!$C51:$L51,"")=10,"",IF(PC.TU105.Inp!$H51="","NULL",""""&amp;PC.TU105.Inp!$H51&amp;""""))</f>
        <v>"n"</v>
      </c>
      <c r="L51" s="6" t="str">
        <f>IF(COUNTIF(PC.TU105.Inp!$C51:$L51,"")=10,"",IF(PC.TU105.Inp!$I51="","NULL",""""&amp;PC.TU105.Inp!$I51&amp;""""))</f>
        <v>NULL</v>
      </c>
      <c r="M51" s="6" t="str">
        <f>IF(COUNTIF(PC.TU105.Inp!$C51:$L51,"")=10,"",IF(PC.TU105.Inp!$J51="","NULL",""""&amp;PC.TU105.Inp!$J51&amp;""""))</f>
        <v>NULL</v>
      </c>
      <c r="N51" s="6">
        <f>IF(COUNTIF(PC.TU105.Inp!$C51:$L51,"")=10,"",IF(PC.TU105.Inp!$K51="","NULL",PC.TU105.Inp!$K51))</f>
        <v>1</v>
      </c>
      <c r="O51" s="6">
        <f>IF(COUNTIF(PC.TU105.Inp!$C51:$L51,"")=10,"",IF(PC.TU105.Inp!$L51="","NULL",PC.TU105.Inp!$L51))</f>
        <v>0</v>
      </c>
      <c r="P51" s="7" t="e">
        <f ca="1">IF(COUNTIF(PC.TU105.Inp!$C51:$L51,"")=10,"","("&amp;_xlfn.TEXTJOIN(",",FALSE,$C51:$O51)&amp;"),")</f>
        <v>#NAME?</v>
      </c>
    </row>
    <row r="52" spans="1:16" x14ac:dyDescent="0.3">
      <c r="A52" s="1" t="s">
        <v>107</v>
      </c>
      <c r="B52" s="1">
        <f t="shared" si="0"/>
        <v>51</v>
      </c>
      <c r="C52" s="6" t="str">
        <f>IF(COUNTIF(PC.TU105.Inp!$C52:$L52,"")=10,"","NULL")</f>
        <v>NULL</v>
      </c>
      <c r="D52" s="6" t="str">
        <f>IF(COUNTIF(PC.TU105.Inp!$C52:$L52,"")=10,"","NULL")</f>
        <v>NULL</v>
      </c>
      <c r="E52" s="6">
        <f>IF(COUNTIF(PC.TU105.Inp!$C52:$L52,"")=10,"",$B52)</f>
        <v>51</v>
      </c>
      <c r="F52" s="6">
        <f>IF(COUNTIF(PC.TU105.Inp!$C52:$L52,"")=10,"",IF(PC.TU105.Inp!$C52="","NULL",PC.TU105.Inp!$C52))</f>
        <v>594</v>
      </c>
      <c r="G52" s="6">
        <f>IF(COUNTIF(PC.TU105.Inp!$C52:$L52,"")=10,"",IF(PC.TU105.Inp!$D52="","NULL",PC.TU105.Inp!$D52))</f>
        <v>324</v>
      </c>
      <c r="H52" s="6">
        <f>IF(COUNTIF(PC.TU105.Inp!$C52:$L52,"")=10,"",IF(PC.TU105.Inp!$E52="","NULL",PC.TU105.Inp!$E52))</f>
        <v>72</v>
      </c>
      <c r="I52" s="6">
        <f>IF(COUNTIF(PC.TU105.Inp!$C52:$L52,"")=10,"",IF(PC.TU105.Inp!$F52="","NULL",PC.TU105.Inp!$F52))</f>
        <v>72</v>
      </c>
      <c r="J52" s="6" t="str">
        <f>IF(COUNTIF(PC.TU105.Inp!$C52:$L52,"")=10,"",IF(PC.TU105.Inp!$G52="","NULL",""""&amp;PC.TU105.Inp!$G52&amp;""""))</f>
        <v>"M"</v>
      </c>
      <c r="K52" s="6" t="str">
        <f>IF(COUNTIF(PC.TU105.Inp!$C52:$L52,"")=10,"",IF(PC.TU105.Inp!$H52="","NULL",""""&amp;PC.TU105.Inp!$H52&amp;""""))</f>
        <v>"m"</v>
      </c>
      <c r="L52" s="6" t="str">
        <f>IF(COUNTIF(PC.TU105.Inp!$C52:$L52,"")=10,"",IF(PC.TU105.Inp!$I52="","NULL",""""&amp;PC.TU105.Inp!$I52&amp;""""))</f>
        <v>NULL</v>
      </c>
      <c r="M52" s="6" t="str">
        <f>IF(COUNTIF(PC.TU105.Inp!$C52:$L52,"")=10,"",IF(PC.TU105.Inp!$J52="","NULL",""""&amp;PC.TU105.Inp!$J52&amp;""""))</f>
        <v>NULL</v>
      </c>
      <c r="N52" s="6">
        <f>IF(COUNTIF(PC.TU105.Inp!$C52:$L52,"")=10,"",IF(PC.TU105.Inp!$K52="","NULL",PC.TU105.Inp!$K52))</f>
        <v>1</v>
      </c>
      <c r="O52" s="6">
        <f>IF(COUNTIF(PC.TU105.Inp!$C52:$L52,"")=10,"",IF(PC.TU105.Inp!$L52="","NULL",PC.TU105.Inp!$L52))</f>
        <v>0</v>
      </c>
      <c r="P52" s="7" t="e">
        <f ca="1">IF(COUNTIF(PC.TU105.Inp!$C52:$L52,"")=10,"","("&amp;_xlfn.TEXTJOIN(",",FALSE,$C52:$O52)&amp;"),")</f>
        <v>#NAME?</v>
      </c>
    </row>
    <row r="53" spans="1:16" x14ac:dyDescent="0.3">
      <c r="A53" s="1" t="s">
        <v>85</v>
      </c>
      <c r="B53" s="1">
        <f t="shared" si="0"/>
        <v>52</v>
      </c>
      <c r="C53" s="6" t="str">
        <f>IF(COUNTIF(PC.TU105.Inp!$C53:$L53,"")=10,"","NULL")</f>
        <v>NULL</v>
      </c>
      <c r="D53" s="6" t="str">
        <f>IF(COUNTIF(PC.TU105.Inp!$C53:$L53,"")=10,"","NULL")</f>
        <v>NULL</v>
      </c>
      <c r="E53" s="6">
        <f>IF(COUNTIF(PC.TU105.Inp!$C53:$L53,"")=10,"",$B53)</f>
        <v>52</v>
      </c>
      <c r="F53" s="6">
        <f>IF(COUNTIF(PC.TU105.Inp!$C53:$L53,"")=10,"",IF(PC.TU105.Inp!$C53="","NULL",PC.TU105.Inp!$C53))</f>
        <v>666</v>
      </c>
      <c r="G53" s="6">
        <f>IF(COUNTIF(PC.TU105.Inp!$C53:$L53,"")=10,"",IF(PC.TU105.Inp!$D53="","NULL",PC.TU105.Inp!$D53))</f>
        <v>324</v>
      </c>
      <c r="H53" s="6">
        <f>IF(COUNTIF(PC.TU105.Inp!$C53:$L53,"")=10,"",IF(PC.TU105.Inp!$E53="","NULL",PC.TU105.Inp!$E53))</f>
        <v>72</v>
      </c>
      <c r="I53" s="6">
        <f>IF(COUNTIF(PC.TU105.Inp!$C53:$L53,"")=10,"",IF(PC.TU105.Inp!$F53="","NULL",PC.TU105.Inp!$F53))</f>
        <v>72</v>
      </c>
      <c r="J53" s="6" t="str">
        <f>IF(COUNTIF(PC.TU105.Inp!$C53:$L53,"")=10,"",IF(PC.TU105.Inp!$G53="","NULL",""""&amp;PC.TU105.Inp!$G53&amp;""""))</f>
        <v>"Ö"</v>
      </c>
      <c r="K53" s="6" t="str">
        <f>IF(COUNTIF(PC.TU105.Inp!$C53:$L53,"")=10,"",IF(PC.TU105.Inp!$H53="","NULL",""""&amp;PC.TU105.Inp!$H53&amp;""""))</f>
        <v>"ö"</v>
      </c>
      <c r="L53" s="6" t="str">
        <f>IF(COUNTIF(PC.TU105.Inp!$C53:$L53,"")=10,"",IF(PC.TU105.Inp!$I53="","NULL",""""&amp;PC.TU105.Inp!$I53&amp;""""))</f>
        <v>NULL</v>
      </c>
      <c r="M53" s="6" t="str">
        <f>IF(COUNTIF(PC.TU105.Inp!$C53:$L53,"")=10,"",IF(PC.TU105.Inp!$J53="","NULL",""""&amp;PC.TU105.Inp!$J53&amp;""""))</f>
        <v>NULL</v>
      </c>
      <c r="N53" s="6" t="str">
        <f>IF(COUNTIF(PC.TU105.Inp!$C53:$L53,"")=10,"",IF(PC.TU105.Inp!$K53="","NULL",PC.TU105.Inp!$K53))</f>
        <v>1</v>
      </c>
      <c r="O53" s="6">
        <f>IF(COUNTIF(PC.TU105.Inp!$C53:$L53,"")=10,"",IF(PC.TU105.Inp!$L53="","NULL",PC.TU105.Inp!$L53))</f>
        <v>0</v>
      </c>
      <c r="P53" s="7" t="e">
        <f ca="1">IF(COUNTIF(PC.TU105.Inp!$C53:$L53,"")=10,"","("&amp;_xlfn.TEXTJOIN(",",FALSE,$C53:$O53)&amp;"),")</f>
        <v>#NAME?</v>
      </c>
    </row>
    <row r="54" spans="1:16" x14ac:dyDescent="0.3">
      <c r="A54" s="1" t="s">
        <v>185</v>
      </c>
      <c r="B54" s="1">
        <f t="shared" si="0"/>
        <v>53</v>
      </c>
      <c r="C54" s="6" t="str">
        <f>IF(COUNTIF(PC.TU105.Inp!$C54:$L54,"")=10,"","NULL")</f>
        <v>NULL</v>
      </c>
      <c r="D54" s="6" t="str">
        <f>IF(COUNTIF(PC.TU105.Inp!$C54:$L54,"")=10,"","NULL")</f>
        <v>NULL</v>
      </c>
      <c r="E54" s="6">
        <f>IF(COUNTIF(PC.TU105.Inp!$C54:$L54,"")=10,"",$B54)</f>
        <v>53</v>
      </c>
      <c r="F54" s="6">
        <f>IF(COUNTIF(PC.TU105.Inp!$C54:$L54,"")=10,"",IF(PC.TU105.Inp!$C54="","NULL",PC.TU105.Inp!$C54))</f>
        <v>738</v>
      </c>
      <c r="G54" s="6">
        <f>IF(COUNTIF(PC.TU105.Inp!$C54:$L54,"")=10,"",IF(PC.TU105.Inp!$D54="","NULL",PC.TU105.Inp!$D54))</f>
        <v>324</v>
      </c>
      <c r="H54" s="6">
        <f>IF(COUNTIF(PC.TU105.Inp!$C54:$L54,"")=10,"",IF(PC.TU105.Inp!$E54="","NULL",PC.TU105.Inp!$E54))</f>
        <v>72</v>
      </c>
      <c r="I54" s="6">
        <f>IF(COUNTIF(PC.TU105.Inp!$C54:$L54,"")=10,"",IF(PC.TU105.Inp!$F54="","NULL",PC.TU105.Inp!$F54))</f>
        <v>72</v>
      </c>
      <c r="J54" s="6" t="str">
        <f>IF(COUNTIF(PC.TU105.Inp!$C54:$L54,"")=10,"",IF(PC.TU105.Inp!$G54="","NULL",""""&amp;PC.TU105.Inp!$G54&amp;""""))</f>
        <v>"Ç"</v>
      </c>
      <c r="K54" s="6" t="str">
        <f>IF(COUNTIF(PC.TU105.Inp!$C54:$L54,"")=10,"",IF(PC.TU105.Inp!$H54="","NULL",""""&amp;PC.TU105.Inp!$H54&amp;""""))</f>
        <v>"ç"</v>
      </c>
      <c r="L54" s="6" t="str">
        <f>IF(COUNTIF(PC.TU105.Inp!$C54:$L54,"")=10,"",IF(PC.TU105.Inp!$I54="","NULL",""""&amp;PC.TU105.Inp!$I54&amp;""""))</f>
        <v>NULL</v>
      </c>
      <c r="M54" s="6" t="str">
        <f>IF(COUNTIF(PC.TU105.Inp!$C54:$L54,"")=10,"",IF(PC.TU105.Inp!$J54="","NULL",""""&amp;PC.TU105.Inp!$J54&amp;""""))</f>
        <v>NULL</v>
      </c>
      <c r="N54" s="6" t="str">
        <f>IF(COUNTIF(PC.TU105.Inp!$C54:$L54,"")=10,"",IF(PC.TU105.Inp!$K54="","NULL",PC.TU105.Inp!$K54))</f>
        <v>1</v>
      </c>
      <c r="O54" s="6">
        <f>IF(COUNTIF(PC.TU105.Inp!$C54:$L54,"")=10,"",IF(PC.TU105.Inp!$L54="","NULL",PC.TU105.Inp!$L54))</f>
        <v>0</v>
      </c>
      <c r="P54" s="7" t="e">
        <f ca="1">IF(COUNTIF(PC.TU105.Inp!$C54:$L54,"")=10,"","("&amp;_xlfn.TEXTJOIN(",",FALSE,$C54:$O54)&amp;"),")</f>
        <v>#NAME?</v>
      </c>
    </row>
    <row r="55" spans="1:16" x14ac:dyDescent="0.3">
      <c r="A55" s="1" t="s">
        <v>112</v>
      </c>
      <c r="B55" s="1">
        <f t="shared" si="0"/>
        <v>54</v>
      </c>
      <c r="C55" s="6" t="str">
        <f>IF(COUNTIF(PC.TU105.Inp!$C55:$L55,"")=10,"","NULL")</f>
        <v>NULL</v>
      </c>
      <c r="D55" s="6" t="str">
        <f>IF(COUNTIF(PC.TU105.Inp!$C55:$L55,"")=10,"","NULL")</f>
        <v>NULL</v>
      </c>
      <c r="E55" s="6">
        <f>IF(COUNTIF(PC.TU105.Inp!$C55:$L55,"")=10,"",$B55)</f>
        <v>54</v>
      </c>
      <c r="F55" s="6">
        <f>IF(COUNTIF(PC.TU105.Inp!$C55:$L55,"")=10,"",IF(PC.TU105.Inp!$C55="","NULL",PC.TU105.Inp!$C55))</f>
        <v>810</v>
      </c>
      <c r="G55" s="6">
        <f>IF(COUNTIF(PC.TU105.Inp!$C55:$L55,"")=10,"",IF(PC.TU105.Inp!$D55="","NULL",PC.TU105.Inp!$D55))</f>
        <v>324</v>
      </c>
      <c r="H55" s="6">
        <f>IF(COUNTIF(PC.TU105.Inp!$C55:$L55,"")=10,"",IF(PC.TU105.Inp!$E55="","NULL",PC.TU105.Inp!$E55))</f>
        <v>72</v>
      </c>
      <c r="I55" s="6">
        <f>IF(COUNTIF(PC.TU105.Inp!$C55:$L55,"")=10,"",IF(PC.TU105.Inp!$F55="","NULL",PC.TU105.Inp!$F55))</f>
        <v>72</v>
      </c>
      <c r="J55" s="6" t="str">
        <f>IF(COUNTIF(PC.TU105.Inp!$C55:$L55,"")=10,"",IF(PC.TU105.Inp!$G55="","NULL",""""&amp;PC.TU105.Inp!$G55&amp;""""))</f>
        <v>":"</v>
      </c>
      <c r="K55" s="6" t="str">
        <f>IF(COUNTIF(PC.TU105.Inp!$C55:$L55,"")=10,"",IF(PC.TU105.Inp!$H55="","NULL",""""&amp;PC.TU105.Inp!$H55&amp;""""))</f>
        <v>"."</v>
      </c>
      <c r="L55" s="6" t="str">
        <f>IF(COUNTIF(PC.TU105.Inp!$C55:$L55,"")=10,"",IF(PC.TU105.Inp!$I55="","NULL",""""&amp;PC.TU105.Inp!$I55&amp;""""))</f>
        <v>NULL</v>
      </c>
      <c r="M55" s="6" t="str">
        <f>IF(COUNTIF(PC.TU105.Inp!$C55:$L55,"")=10,"",IF(PC.TU105.Inp!$J55="","NULL",""""&amp;PC.TU105.Inp!$J55&amp;""""))</f>
        <v>NULL</v>
      </c>
      <c r="N55" s="6">
        <f>IF(COUNTIF(PC.TU105.Inp!$C55:$L55,"")=10,"",IF(PC.TU105.Inp!$K55="","NULL",PC.TU105.Inp!$K55))</f>
        <v>0</v>
      </c>
      <c r="O55" s="6">
        <f>IF(COUNTIF(PC.TU105.Inp!$C55:$L55,"")=10,"",IF(PC.TU105.Inp!$L55="","NULL",PC.TU105.Inp!$L55))</f>
        <v>0</v>
      </c>
      <c r="P55" s="7" t="e">
        <f ca="1">IF(COUNTIF(PC.TU105.Inp!$C55:$L55,"")=10,"","("&amp;_xlfn.TEXTJOIN(",",FALSE,$C55:$O55)&amp;"),")</f>
        <v>#NAME?</v>
      </c>
    </row>
    <row r="56" spans="1:16" x14ac:dyDescent="0.3">
      <c r="A56" s="1" t="s">
        <v>169</v>
      </c>
      <c r="B56" s="1">
        <f t="shared" si="0"/>
        <v>55</v>
      </c>
      <c r="C56" s="6" t="str">
        <f>IF(COUNTIF(PC.TU105.Inp!$C56:$L56,"")=10,"","NULL")</f>
        <v>NULL</v>
      </c>
      <c r="D56" s="6" t="str">
        <f>IF(COUNTIF(PC.TU105.Inp!$C56:$L56,"")=10,"","NULL")</f>
        <v>NULL</v>
      </c>
      <c r="E56" s="6">
        <f>IF(COUNTIF(PC.TU105.Inp!$C56:$L56,"")=10,"",$B56)</f>
        <v>55</v>
      </c>
      <c r="F56" s="6">
        <f>IF(COUNTIF(PC.TU105.Inp!$C56:$L56,"")=10,"",IF(PC.TU105.Inp!$C56="","NULL",PC.TU105.Inp!$C56))</f>
        <v>882</v>
      </c>
      <c r="G56" s="6">
        <f>IF(COUNTIF(PC.TU105.Inp!$C56:$L56,"")=10,"",IF(PC.TU105.Inp!$D56="","NULL",PC.TU105.Inp!$D56))</f>
        <v>324</v>
      </c>
      <c r="H56" s="6">
        <f>IF(COUNTIF(PC.TU105.Inp!$C56:$L56,"")=10,"",IF(PC.TU105.Inp!$E56="","NULL",PC.TU105.Inp!$E56))</f>
        <v>198</v>
      </c>
      <c r="I56" s="6">
        <f>IF(COUNTIF(PC.TU105.Inp!$C56:$L56,"")=10,"",IF(PC.TU105.Inp!$F56="","NULL",PC.TU105.Inp!$F56))</f>
        <v>72</v>
      </c>
      <c r="J56" s="6" t="str">
        <f>IF(COUNTIF(PC.TU105.Inp!$C56:$L56,"")=10,"",IF(PC.TU105.Inp!$G56="","NULL",""""&amp;PC.TU105.Inp!$G56&amp;""""))</f>
        <v>NULL</v>
      </c>
      <c r="K56" s="6" t="str">
        <f>IF(COUNTIF(PC.TU105.Inp!$C56:$L56,"")=10,"",IF(PC.TU105.Inp!$H56="","NULL",""""&amp;PC.TU105.Inp!$H56&amp;""""))</f>
        <v>"RShift"</v>
      </c>
      <c r="L56" s="6" t="str">
        <f>IF(COUNTIF(PC.TU105.Inp!$C56:$L56,"")=10,"",IF(PC.TU105.Inp!$I56="","NULL",""""&amp;PC.TU105.Inp!$I56&amp;""""))</f>
        <v>NULL</v>
      </c>
      <c r="M56" s="6" t="str">
        <f>IF(COUNTIF(PC.TU105.Inp!$C56:$L56,"")=10,"",IF(PC.TU105.Inp!$J56="","NULL",""""&amp;PC.TU105.Inp!$J56&amp;""""))</f>
        <v>NULL</v>
      </c>
      <c r="N56" s="6">
        <f>IF(COUNTIF(PC.TU105.Inp!$C56:$L56,"")=10,"",IF(PC.TU105.Inp!$K56="","NULL",PC.TU105.Inp!$K56))</f>
        <v>0</v>
      </c>
      <c r="O56" s="6">
        <f>IF(COUNTIF(PC.TU105.Inp!$C56:$L56,"")=10,"",IF(PC.TU105.Inp!$L56="","NULL",PC.TU105.Inp!$L56))</f>
        <v>0</v>
      </c>
      <c r="P56" s="7" t="e">
        <f ca="1">IF(COUNTIF(PC.TU105.Inp!$C56:$L56,"")=10,"","("&amp;_xlfn.TEXTJOIN(",",FALSE,$C56:$O56)&amp;"),")</f>
        <v>#NAME?</v>
      </c>
    </row>
    <row r="57" spans="1:16" x14ac:dyDescent="0.3">
      <c r="A57" s="1" t="s">
        <v>170</v>
      </c>
      <c r="B57" s="1">
        <f t="shared" si="0"/>
        <v>56</v>
      </c>
      <c r="C57" s="6" t="str">
        <f>IF(COUNTIF(PC.TU105.Inp!$C57:$L57,"")=10,"","NULL")</f>
        <v>NULL</v>
      </c>
      <c r="D57" s="6" t="str">
        <f>IF(COUNTIF(PC.TU105.Inp!$C57:$L57,"")=10,"","NULL")</f>
        <v>NULL</v>
      </c>
      <c r="E57" s="6">
        <f>IF(COUNTIF(PC.TU105.Inp!$C57:$L57,"")=10,"",$B57)</f>
        <v>56</v>
      </c>
      <c r="F57" s="6">
        <f>IF(COUNTIF(PC.TU105.Inp!$C57:$L57,"")=10,"",IF(PC.TU105.Inp!$C57="","NULL",PC.TU105.Inp!$C57))</f>
        <v>0</v>
      </c>
      <c r="G57" s="6">
        <f>IF(COUNTIF(PC.TU105.Inp!$C57:$L57,"")=10,"",IF(PC.TU105.Inp!$D57="","NULL",PC.TU105.Inp!$D57))</f>
        <v>396</v>
      </c>
      <c r="H57" s="6">
        <f>IF(COUNTIF(PC.TU105.Inp!$C57:$L57,"")=10,"",IF(PC.TU105.Inp!$E57="","NULL",PC.TU105.Inp!$E57))</f>
        <v>90</v>
      </c>
      <c r="I57" s="6">
        <f>IF(COUNTIF(PC.TU105.Inp!$C57:$L57,"")=10,"",IF(PC.TU105.Inp!$F57="","NULL",PC.TU105.Inp!$F57))</f>
        <v>72</v>
      </c>
      <c r="J57" s="6" t="str">
        <f>IF(COUNTIF(PC.TU105.Inp!$C57:$L57,"")=10,"",IF(PC.TU105.Inp!$G57="","NULL",""""&amp;PC.TU105.Inp!$G57&amp;""""))</f>
        <v>NULL</v>
      </c>
      <c r="K57" s="6" t="str">
        <f>IF(COUNTIF(PC.TU105.Inp!$C57:$L57,"")=10,"",IF(PC.TU105.Inp!$H57="","NULL",""""&amp;PC.TU105.Inp!$H57&amp;""""))</f>
        <v>"LCtrl"</v>
      </c>
      <c r="L57" s="6" t="str">
        <f>IF(COUNTIF(PC.TU105.Inp!$C57:$L57,"")=10,"",IF(PC.TU105.Inp!$I57="","NULL",""""&amp;PC.TU105.Inp!$I57&amp;""""))</f>
        <v>NULL</v>
      </c>
      <c r="M57" s="6" t="str">
        <f>IF(COUNTIF(PC.TU105.Inp!$C57:$L57,"")=10,"",IF(PC.TU105.Inp!$J57="","NULL",""""&amp;PC.TU105.Inp!$J57&amp;""""))</f>
        <v>NULL</v>
      </c>
      <c r="N57" s="6">
        <f>IF(COUNTIF(PC.TU105.Inp!$C57:$L57,"")=10,"",IF(PC.TU105.Inp!$K57="","NULL",PC.TU105.Inp!$K57))</f>
        <v>0</v>
      </c>
      <c r="O57" s="6">
        <f>IF(COUNTIF(PC.TU105.Inp!$C57:$L57,"")=10,"",IF(PC.TU105.Inp!$L57="","NULL",PC.TU105.Inp!$L57))</f>
        <v>0</v>
      </c>
      <c r="P57" s="7" t="e">
        <f ca="1">IF(COUNTIF(PC.TU105.Inp!$C57:$L57,"")=10,"","("&amp;_xlfn.TEXTJOIN(",",FALSE,$C57:$O57)&amp;"),")</f>
        <v>#NAME?</v>
      </c>
    </row>
    <row r="58" spans="1:16" x14ac:dyDescent="0.3">
      <c r="A58" s="1" t="s">
        <v>117</v>
      </c>
      <c r="B58" s="1">
        <f t="shared" si="0"/>
        <v>57</v>
      </c>
      <c r="C58" s="6" t="str">
        <f>IF(COUNTIF(PC.TU105.Inp!$C58:$L58,"")=10,"","NULL")</f>
        <v>NULL</v>
      </c>
      <c r="D58" s="6" t="str">
        <f>IF(COUNTIF(PC.TU105.Inp!$C58:$L58,"")=10,"","NULL")</f>
        <v>NULL</v>
      </c>
      <c r="E58" s="6">
        <f>IF(COUNTIF(PC.TU105.Inp!$C58:$L58,"")=10,"",$B58)</f>
        <v>57</v>
      </c>
      <c r="F58" s="6">
        <f>IF(COUNTIF(PC.TU105.Inp!$C58:$L58,"")=10,"",IF(PC.TU105.Inp!$C58="","NULL",PC.TU105.Inp!$C58))</f>
        <v>180</v>
      </c>
      <c r="G58" s="6">
        <f>IF(COUNTIF(PC.TU105.Inp!$C58:$L58,"")=10,"",IF(PC.TU105.Inp!$D58="","NULL",PC.TU105.Inp!$D58))</f>
        <v>396</v>
      </c>
      <c r="H58" s="6">
        <f>IF(COUNTIF(PC.TU105.Inp!$C58:$L58,"")=10,"",IF(PC.TU105.Inp!$E58="","NULL",PC.TU105.Inp!$E58))</f>
        <v>90</v>
      </c>
      <c r="I58" s="6">
        <f>IF(COUNTIF(PC.TU105.Inp!$C58:$L58,"")=10,"",IF(PC.TU105.Inp!$F58="","NULL",PC.TU105.Inp!$F58))</f>
        <v>72</v>
      </c>
      <c r="J58" s="6" t="str">
        <f>IF(COUNTIF(PC.TU105.Inp!$C58:$L58,"")=10,"",IF(PC.TU105.Inp!$G58="","NULL",""""&amp;PC.TU105.Inp!$G58&amp;""""))</f>
        <v>NULL</v>
      </c>
      <c r="K58" s="6" t="str">
        <f>IF(COUNTIF(PC.TU105.Inp!$C58:$L58,"")=10,"",IF(PC.TU105.Inp!$H58="","NULL",""""&amp;PC.TU105.Inp!$H58&amp;""""))</f>
        <v>"Alt"</v>
      </c>
      <c r="L58" s="6" t="str">
        <f>IF(COUNTIF(PC.TU105.Inp!$C58:$L58,"")=10,"",IF(PC.TU105.Inp!$I58="","NULL",""""&amp;PC.TU105.Inp!$I58&amp;""""))</f>
        <v>NULL</v>
      </c>
      <c r="M58" s="6" t="str">
        <f>IF(COUNTIF(PC.TU105.Inp!$C58:$L58,"")=10,"",IF(PC.TU105.Inp!$J58="","NULL",""""&amp;PC.TU105.Inp!$J58&amp;""""))</f>
        <v>NULL</v>
      </c>
      <c r="N58" s="6">
        <f>IF(COUNTIF(PC.TU105.Inp!$C58:$L58,"")=10,"",IF(PC.TU105.Inp!$K58="","NULL",PC.TU105.Inp!$K58))</f>
        <v>0</v>
      </c>
      <c r="O58" s="6">
        <f>IF(COUNTIF(PC.TU105.Inp!$C58:$L58,"")=10,"",IF(PC.TU105.Inp!$L58="","NULL",PC.TU105.Inp!$L58))</f>
        <v>0</v>
      </c>
      <c r="P58" s="7" t="e">
        <f ca="1">IF(COUNTIF(PC.TU105.Inp!$C58:$L58,"")=10,"","("&amp;_xlfn.TEXTJOIN(",",FALSE,$C58:$O58)&amp;"),")</f>
        <v>#NAME?</v>
      </c>
    </row>
    <row r="59" spans="1:16" x14ac:dyDescent="0.3">
      <c r="A59" s="1" t="s">
        <v>186</v>
      </c>
      <c r="B59" s="1">
        <f t="shared" si="0"/>
        <v>58</v>
      </c>
      <c r="C59" s="6" t="str">
        <f>IF(COUNTIF(PC.TU105.Inp!$C59:$L59,"")=10,"","NULL")</f>
        <v>NULL</v>
      </c>
      <c r="D59" s="6" t="str">
        <f>IF(COUNTIF(PC.TU105.Inp!$C59:$L59,"")=10,"","NULL")</f>
        <v>NULL</v>
      </c>
      <c r="E59" s="6">
        <f>IF(COUNTIF(PC.TU105.Inp!$C59:$L59,"")=10,"",$B59)</f>
        <v>58</v>
      </c>
      <c r="F59" s="6">
        <f>IF(COUNTIF(PC.TU105.Inp!$C59:$L59,"")=10,"",IF(PC.TU105.Inp!$C59="","NULL",PC.TU105.Inp!$C59))</f>
        <v>270</v>
      </c>
      <c r="G59" s="6">
        <f>IF(COUNTIF(PC.TU105.Inp!$C59:$L59,"")=10,"",IF(PC.TU105.Inp!$D59="","NULL",PC.TU105.Inp!$D59))</f>
        <v>396</v>
      </c>
      <c r="H59" s="6">
        <f>IF(COUNTIF(PC.TU105.Inp!$C59:$L59,"")=10,"",IF(PC.TU105.Inp!$E59="","NULL",PC.TU105.Inp!$E59))</f>
        <v>450</v>
      </c>
      <c r="I59" s="6">
        <f>IF(COUNTIF(PC.TU105.Inp!$C59:$L59,"")=10,"",IF(PC.TU105.Inp!$F59="","NULL",PC.TU105.Inp!$F59))</f>
        <v>72</v>
      </c>
      <c r="J59" s="6" t="str">
        <f>IF(COUNTIF(PC.TU105.Inp!$C59:$L59,"")=10,"",IF(PC.TU105.Inp!$G59="","NULL",""""&amp;PC.TU105.Inp!$G59&amp;""""))</f>
        <v>NULL</v>
      </c>
      <c r="K59" s="6" t="str">
        <f>IF(COUNTIF(PC.TU105.Inp!$C59:$L59,"")=10,"",IF(PC.TU105.Inp!$H59="","NULL",""""&amp;PC.TU105.Inp!$H59&amp;""""))</f>
        <v>"Space"</v>
      </c>
      <c r="L59" s="6" t="str">
        <f>IF(COUNTIF(PC.TU105.Inp!$C59:$L59,"")=10,"",IF(PC.TU105.Inp!$I59="","NULL",""""&amp;PC.TU105.Inp!$I59&amp;""""))</f>
        <v>NULL</v>
      </c>
      <c r="M59" s="6" t="str">
        <f>IF(COUNTIF(PC.TU105.Inp!$C59:$L59,"")=10,"",IF(PC.TU105.Inp!$J59="","NULL",""""&amp;PC.TU105.Inp!$J59&amp;""""))</f>
        <v>NULL</v>
      </c>
      <c r="N59" s="6">
        <f>IF(COUNTIF(PC.TU105.Inp!$C59:$L59,"")=10,"",IF(PC.TU105.Inp!$K59="","NULL",PC.TU105.Inp!$K59))</f>
        <v>0</v>
      </c>
      <c r="O59" s="6">
        <f>IF(COUNTIF(PC.TU105.Inp!$C59:$L59,"")=10,"",IF(PC.TU105.Inp!$L59="","NULL",PC.TU105.Inp!$L59))</f>
        <v>0</v>
      </c>
      <c r="P59" s="7" t="e">
        <f ca="1">IF(COUNTIF(PC.TU105.Inp!$C59:$L59,"")=10,"","("&amp;_xlfn.TEXTJOIN(",",FALSE,$C59:$O59)&amp;"),")</f>
        <v>#NAME?</v>
      </c>
    </row>
    <row r="60" spans="1:16" x14ac:dyDescent="0.3">
      <c r="A60" s="1" t="s">
        <v>119</v>
      </c>
      <c r="B60" s="1">
        <f t="shared" si="0"/>
        <v>59</v>
      </c>
      <c r="C60" s="6" t="str">
        <f>IF(COUNTIF(PC.TU105.Inp!$C60:$L60,"")=10,"","NULL")</f>
        <v>NULL</v>
      </c>
      <c r="D60" s="6" t="str">
        <f>IF(COUNTIF(PC.TU105.Inp!$C60:$L60,"")=10,"","NULL")</f>
        <v>NULL</v>
      </c>
      <c r="E60" s="6">
        <f>IF(COUNTIF(PC.TU105.Inp!$C60:$L60,"")=10,"",$B60)</f>
        <v>59</v>
      </c>
      <c r="F60" s="6">
        <f>IF(COUNTIF(PC.TU105.Inp!$C60:$L60,"")=10,"",IF(PC.TU105.Inp!$C60="","NULL",PC.TU105.Inp!$C60))</f>
        <v>720</v>
      </c>
      <c r="G60" s="6">
        <f>IF(COUNTIF(PC.TU105.Inp!$C60:$L60,"")=10,"",IF(PC.TU105.Inp!$D60="","NULL",PC.TU105.Inp!$D60))</f>
        <v>396</v>
      </c>
      <c r="H60" s="6">
        <f>IF(COUNTIF(PC.TU105.Inp!$C60:$L60,"")=10,"",IF(PC.TU105.Inp!$E60="","NULL",PC.TU105.Inp!$E60))</f>
        <v>90</v>
      </c>
      <c r="I60" s="6">
        <f>IF(COUNTIF(PC.TU105.Inp!$C60:$L60,"")=10,"",IF(PC.TU105.Inp!$F60="","NULL",PC.TU105.Inp!$F60))</f>
        <v>72</v>
      </c>
      <c r="J60" s="6" t="str">
        <f>IF(COUNTIF(PC.TU105.Inp!$C60:$L60,"")=10,"",IF(PC.TU105.Inp!$G60="","NULL",""""&amp;PC.TU105.Inp!$G60&amp;""""))</f>
        <v>NULL</v>
      </c>
      <c r="K60" s="6" t="str">
        <f>IF(COUNTIF(PC.TU105.Inp!$C60:$L60,"")=10,"",IF(PC.TU105.Inp!$H60="","NULL",""""&amp;PC.TU105.Inp!$H60&amp;""""))</f>
        <v>"AltGr"</v>
      </c>
      <c r="L60" s="6" t="str">
        <f>IF(COUNTIF(PC.TU105.Inp!$C60:$L60,"")=10,"",IF(PC.TU105.Inp!$I60="","NULL",""""&amp;PC.TU105.Inp!$I60&amp;""""))</f>
        <v>NULL</v>
      </c>
      <c r="M60" s="6" t="str">
        <f>IF(COUNTIF(PC.TU105.Inp!$C60:$L60,"")=10,"",IF(PC.TU105.Inp!$J60="","NULL",""""&amp;PC.TU105.Inp!$J60&amp;""""))</f>
        <v>NULL</v>
      </c>
      <c r="N60" s="6">
        <f>IF(COUNTIF(PC.TU105.Inp!$C60:$L60,"")=10,"",IF(PC.TU105.Inp!$K60="","NULL",PC.TU105.Inp!$K60))</f>
        <v>0</v>
      </c>
      <c r="O60" s="6">
        <f>IF(COUNTIF(PC.TU105.Inp!$C60:$L60,"")=10,"",IF(PC.TU105.Inp!$L60="","NULL",PC.TU105.Inp!$L60))</f>
        <v>0</v>
      </c>
      <c r="P60" s="7" t="e">
        <f ca="1">IF(COUNTIF(PC.TU105.Inp!$C60:$L60,"")=10,"","("&amp;_xlfn.TEXTJOIN(",",FALSE,$C60:$O60)&amp;"),")</f>
        <v>#NAME?</v>
      </c>
    </row>
    <row r="61" spans="1:16" x14ac:dyDescent="0.3">
      <c r="A61" s="1" t="s">
        <v>171</v>
      </c>
      <c r="B61" s="1">
        <f t="shared" si="0"/>
        <v>60</v>
      </c>
      <c r="C61" s="6" t="str">
        <f>IF(COUNTIF(PC.TU105.Inp!$C61:$L61,"")=10,"","NULL")</f>
        <v>NULL</v>
      </c>
      <c r="D61" s="6" t="str">
        <f>IF(COUNTIF(PC.TU105.Inp!$C61:$L61,"")=10,"","NULL")</f>
        <v>NULL</v>
      </c>
      <c r="E61" s="6">
        <f>IF(COUNTIF(PC.TU105.Inp!$C61:$L61,"")=10,"",$B61)</f>
        <v>60</v>
      </c>
      <c r="F61" s="6">
        <f>IF(COUNTIF(PC.TU105.Inp!$C61:$L61,"")=10,"",IF(PC.TU105.Inp!$C61="","NULL",PC.TU105.Inp!$C61))</f>
        <v>990</v>
      </c>
      <c r="G61" s="6">
        <f>IF(COUNTIF(PC.TU105.Inp!$C61:$L61,"")=10,"",IF(PC.TU105.Inp!$D61="","NULL",PC.TU105.Inp!$D61))</f>
        <v>396</v>
      </c>
      <c r="H61" s="6">
        <f>IF(COUNTIF(PC.TU105.Inp!$C61:$L61,"")=10,"",IF(PC.TU105.Inp!$E61="","NULL",PC.TU105.Inp!$E61))</f>
        <v>90</v>
      </c>
      <c r="I61" s="6">
        <f>IF(COUNTIF(PC.TU105.Inp!$C61:$L61,"")=10,"",IF(PC.TU105.Inp!$F61="","NULL",PC.TU105.Inp!$F61))</f>
        <v>72</v>
      </c>
      <c r="J61" s="6" t="str">
        <f>IF(COUNTIF(PC.TU105.Inp!$C61:$L61,"")=10,"",IF(PC.TU105.Inp!$G61="","NULL",""""&amp;PC.TU105.Inp!$G61&amp;""""))</f>
        <v>NULL</v>
      </c>
      <c r="K61" s="6" t="str">
        <f>IF(COUNTIF(PC.TU105.Inp!$C61:$L61,"")=10,"",IF(PC.TU105.Inp!$H61="","NULL",""""&amp;PC.TU105.Inp!$H61&amp;""""))</f>
        <v>"RCtrl"</v>
      </c>
      <c r="L61" s="6" t="str">
        <f>IF(COUNTIF(PC.TU105.Inp!$C61:$L61,"")=10,"",IF(PC.TU105.Inp!$I61="","NULL",""""&amp;PC.TU105.Inp!$I61&amp;""""))</f>
        <v>NULL</v>
      </c>
      <c r="M61" s="6" t="str">
        <f>IF(COUNTIF(PC.TU105.Inp!$C61:$L61,"")=10,"",IF(PC.TU105.Inp!$J61="","NULL",""""&amp;PC.TU105.Inp!$J61&amp;""""))</f>
        <v>NULL</v>
      </c>
      <c r="N61" s="6">
        <f>IF(COUNTIF(PC.TU105.Inp!$C61:$L61,"")=10,"",IF(PC.TU105.Inp!$K61="","NULL",PC.TU105.Inp!$K61))</f>
        <v>0</v>
      </c>
      <c r="O61" s="6">
        <f>IF(COUNTIF(PC.TU105.Inp!$C61:$L61,"")=10,"",IF(PC.TU105.Inp!$L61="","NULL",PC.TU105.Inp!$L61))</f>
        <v>0</v>
      </c>
      <c r="P61" s="7" t="e">
        <f ca="1">IF(COUNTIF(PC.TU105.Inp!$C61:$L61,"")=10,"","("&amp;_xlfn.TEXTJOIN(",",FALSE,$C61:$O61)&amp;"),")</f>
        <v>#NAME?</v>
      </c>
    </row>
    <row r="62" spans="1:16" x14ac:dyDescent="0.3">
      <c r="A62" s="1" t="s">
        <v>172</v>
      </c>
      <c r="B62" s="1">
        <f t="shared" si="0"/>
        <v>61</v>
      </c>
      <c r="C62" s="6" t="str">
        <f>IF(COUNTIF(PC.TU105.Inp!$C62:$L62,"")=10,"","NULL")</f>
        <v>NULL</v>
      </c>
      <c r="D62" s="6" t="str">
        <f>IF(COUNTIF(PC.TU105.Inp!$C62:$L62,"")=10,"","NULL")</f>
        <v>NULL</v>
      </c>
      <c r="E62" s="6">
        <f>IF(COUNTIF(PC.TU105.Inp!$C62:$L62,"")=10,"",$B62)</f>
        <v>61</v>
      </c>
      <c r="F62" s="6">
        <f>IF(COUNTIF(PC.TU105.Inp!$C62:$L62,"")=10,"",IF(PC.TU105.Inp!$C62="","NULL",PC.TU105.Inp!$C62))</f>
        <v>1116</v>
      </c>
      <c r="G62" s="6">
        <f>IF(COUNTIF(PC.TU105.Inp!$C62:$L62,"")=10,"",IF(PC.TU105.Inp!$D62="","NULL",PC.TU105.Inp!$D62))</f>
        <v>108</v>
      </c>
      <c r="H62" s="6">
        <f>IF(COUNTIF(PC.TU105.Inp!$C62:$L62,"")=10,"",IF(PC.TU105.Inp!$E62="","NULL",PC.TU105.Inp!$E62))</f>
        <v>72</v>
      </c>
      <c r="I62" s="6">
        <f>IF(COUNTIF(PC.TU105.Inp!$C62:$L62,"")=10,"",IF(PC.TU105.Inp!$F62="","NULL",PC.TU105.Inp!$F62))</f>
        <v>72</v>
      </c>
      <c r="J62" s="6" t="str">
        <f>IF(COUNTIF(PC.TU105.Inp!$C62:$L62,"")=10,"",IF(PC.TU105.Inp!$G62="","NULL",""""&amp;PC.TU105.Inp!$G62&amp;""""))</f>
        <v>NULL</v>
      </c>
      <c r="K62" s="6" t="str">
        <f>IF(COUNTIF(PC.TU105.Inp!$C62:$L62,"")=10,"",IF(PC.TU105.Inp!$H62="","NULL",""""&amp;PC.TU105.Inp!$H62&amp;""""))</f>
        <v>"Insert"</v>
      </c>
      <c r="L62" s="6" t="str">
        <f>IF(COUNTIF(PC.TU105.Inp!$C62:$L62,"")=10,"",IF(PC.TU105.Inp!$I62="","NULL",""""&amp;PC.TU105.Inp!$I62&amp;""""))</f>
        <v>NULL</v>
      </c>
      <c r="M62" s="6" t="str">
        <f>IF(COUNTIF(PC.TU105.Inp!$C62:$L62,"")=10,"",IF(PC.TU105.Inp!$J62="","NULL",""""&amp;PC.TU105.Inp!$J62&amp;""""))</f>
        <v>NULL</v>
      </c>
      <c r="N62" s="6">
        <f>IF(COUNTIF(PC.TU105.Inp!$C62:$L62,"")=10,"",IF(PC.TU105.Inp!$K62="","NULL",PC.TU105.Inp!$K62))</f>
        <v>0</v>
      </c>
      <c r="O62" s="6">
        <f>IF(COUNTIF(PC.TU105.Inp!$C62:$L62,"")=10,"",IF(PC.TU105.Inp!$L62="","NULL",PC.TU105.Inp!$L62))</f>
        <v>0</v>
      </c>
      <c r="P62" s="7" t="e">
        <f ca="1">IF(COUNTIF(PC.TU105.Inp!$C62:$L62,"")=10,"","("&amp;_xlfn.TEXTJOIN(",",FALSE,$C62:$O62)&amp;"),")</f>
        <v>#NAME?</v>
      </c>
    </row>
    <row r="63" spans="1:16" x14ac:dyDescent="0.3">
      <c r="A63" s="1" t="s">
        <v>173</v>
      </c>
      <c r="B63" s="1">
        <f t="shared" si="0"/>
        <v>62</v>
      </c>
      <c r="C63" s="6" t="str">
        <f>IF(COUNTIF(PC.TU105.Inp!$C63:$L63,"")=10,"","NULL")</f>
        <v>NULL</v>
      </c>
      <c r="D63" s="6" t="str">
        <f>IF(COUNTIF(PC.TU105.Inp!$C63:$L63,"")=10,"","NULL")</f>
        <v>NULL</v>
      </c>
      <c r="E63" s="6">
        <f>IF(COUNTIF(PC.TU105.Inp!$C63:$L63,"")=10,"",$B63)</f>
        <v>62</v>
      </c>
      <c r="F63" s="6">
        <f>IF(COUNTIF(PC.TU105.Inp!$C63:$L63,"")=10,"",IF(PC.TU105.Inp!$C63="","NULL",PC.TU105.Inp!$C63))</f>
        <v>1116</v>
      </c>
      <c r="G63" s="6">
        <f>IF(COUNTIF(PC.TU105.Inp!$C63:$L63,"")=10,"",IF(PC.TU105.Inp!$D63="","NULL",PC.TU105.Inp!$D63))</f>
        <v>180</v>
      </c>
      <c r="H63" s="6">
        <f>IF(COUNTIF(PC.TU105.Inp!$C63:$L63,"")=10,"",IF(PC.TU105.Inp!$E63="","NULL",PC.TU105.Inp!$E63))</f>
        <v>72</v>
      </c>
      <c r="I63" s="6">
        <f>IF(COUNTIF(PC.TU105.Inp!$C63:$L63,"")=10,"",IF(PC.TU105.Inp!$F63="","NULL",PC.TU105.Inp!$F63))</f>
        <v>72</v>
      </c>
      <c r="J63" s="6" t="str">
        <f>IF(COUNTIF(PC.TU105.Inp!$C63:$L63,"")=10,"",IF(PC.TU105.Inp!$G63="","NULL",""""&amp;PC.TU105.Inp!$G63&amp;""""))</f>
        <v>NULL</v>
      </c>
      <c r="K63" s="6" t="str">
        <f>IF(COUNTIF(PC.TU105.Inp!$C63:$L63,"")=10,"",IF(PC.TU105.Inp!$H63="","NULL",""""&amp;PC.TU105.Inp!$H63&amp;""""))</f>
        <v>"Delete"</v>
      </c>
      <c r="L63" s="6" t="str">
        <f>IF(COUNTIF(PC.TU105.Inp!$C63:$L63,"")=10,"",IF(PC.TU105.Inp!$I63="","NULL",""""&amp;PC.TU105.Inp!$I63&amp;""""))</f>
        <v>NULL</v>
      </c>
      <c r="M63" s="6" t="str">
        <f>IF(COUNTIF(PC.TU105.Inp!$C63:$L63,"")=10,"",IF(PC.TU105.Inp!$J63="","NULL",""""&amp;PC.TU105.Inp!$J63&amp;""""))</f>
        <v>NULL</v>
      </c>
      <c r="N63" s="6">
        <f>IF(COUNTIF(PC.TU105.Inp!$C63:$L63,"")=10,"",IF(PC.TU105.Inp!$K63="","NULL",PC.TU105.Inp!$K63))</f>
        <v>0</v>
      </c>
      <c r="O63" s="6">
        <f>IF(COUNTIF(PC.TU105.Inp!$C63:$L63,"")=10,"",IF(PC.TU105.Inp!$L63="","NULL",PC.TU105.Inp!$L63))</f>
        <v>0</v>
      </c>
      <c r="P63" s="7" t="e">
        <f ca="1">IF(COUNTIF(PC.TU105.Inp!$C63:$L63,"")=10,"","("&amp;_xlfn.TEXTJOIN(",",FALSE,$C63:$O63)&amp;"),")</f>
        <v>#NAME?</v>
      </c>
    </row>
    <row r="64" spans="1:16" x14ac:dyDescent="0.3">
      <c r="A64" s="1" t="s">
        <v>174</v>
      </c>
      <c r="B64" s="1">
        <f t="shared" si="0"/>
        <v>63</v>
      </c>
      <c r="C64" s="6" t="str">
        <f>IF(COUNTIF(PC.TU105.Inp!$C64:$L64,"")=10,"","NULL")</f>
        <v>NULL</v>
      </c>
      <c r="D64" s="6" t="str">
        <f>IF(COUNTIF(PC.TU105.Inp!$C64:$L64,"")=10,"","NULL")</f>
        <v>NULL</v>
      </c>
      <c r="E64" s="6">
        <f>IF(COUNTIF(PC.TU105.Inp!$C64:$L64,"")=10,"",$B64)</f>
        <v>63</v>
      </c>
      <c r="F64" s="6">
        <f>IF(COUNTIF(PC.TU105.Inp!$C64:$L64,"")=10,"",IF(PC.TU105.Inp!$C64="","NULL",PC.TU105.Inp!$C64))</f>
        <v>1116</v>
      </c>
      <c r="G64" s="6">
        <f>IF(COUNTIF(PC.TU105.Inp!$C64:$L64,"")=10,"",IF(PC.TU105.Inp!$D64="","NULL",PC.TU105.Inp!$D64))</f>
        <v>396</v>
      </c>
      <c r="H64" s="6">
        <f>IF(COUNTIF(PC.TU105.Inp!$C64:$L64,"")=10,"",IF(PC.TU105.Inp!$E64="","NULL",PC.TU105.Inp!$E64))</f>
        <v>72</v>
      </c>
      <c r="I64" s="6">
        <f>IF(COUNTIF(PC.TU105.Inp!$C64:$L64,"")=10,"",IF(PC.TU105.Inp!$F64="","NULL",PC.TU105.Inp!$F64))</f>
        <v>72</v>
      </c>
      <c r="J64" s="6" t="str">
        <f>IF(COUNTIF(PC.TU105.Inp!$C64:$L64,"")=10,"",IF(PC.TU105.Inp!$G64="","NULL",""""&amp;PC.TU105.Inp!$G64&amp;""""))</f>
        <v>NULL</v>
      </c>
      <c r="K64" s="6" t="str">
        <f>IF(COUNTIF(PC.TU105.Inp!$C64:$L64,"")=10,"",IF(PC.TU105.Inp!$H64="","NULL",""""&amp;PC.TU105.Inp!$H64&amp;""""))</f>
        <v>"Left"</v>
      </c>
      <c r="L64" s="6" t="str">
        <f>IF(COUNTIF(PC.TU105.Inp!$C64:$L64,"")=10,"",IF(PC.TU105.Inp!$I64="","NULL",""""&amp;PC.TU105.Inp!$I64&amp;""""))</f>
        <v>NULL</v>
      </c>
      <c r="M64" s="6" t="str">
        <f>IF(COUNTIF(PC.TU105.Inp!$C64:$L64,"")=10,"",IF(PC.TU105.Inp!$J64="","NULL",""""&amp;PC.TU105.Inp!$J64&amp;""""))</f>
        <v>NULL</v>
      </c>
      <c r="N64" s="6">
        <f>IF(COUNTIF(PC.TU105.Inp!$C64:$L64,"")=10,"",IF(PC.TU105.Inp!$K64="","NULL",PC.TU105.Inp!$K64))</f>
        <v>0</v>
      </c>
      <c r="O64" s="6">
        <f>IF(COUNTIF(PC.TU105.Inp!$C64:$L64,"")=10,"",IF(PC.TU105.Inp!$L64="","NULL",PC.TU105.Inp!$L64))</f>
        <v>0</v>
      </c>
      <c r="P64" s="7" t="e">
        <f ca="1">IF(COUNTIF(PC.TU105.Inp!$C64:$L64,"")=10,"","("&amp;_xlfn.TEXTJOIN(",",FALSE,$C64:$O64)&amp;"),")</f>
        <v>#NAME?</v>
      </c>
    </row>
    <row r="65" spans="1:16" x14ac:dyDescent="0.3">
      <c r="A65" s="1" t="s">
        <v>175</v>
      </c>
      <c r="B65" s="1">
        <f t="shared" si="0"/>
        <v>64</v>
      </c>
      <c r="C65" s="6" t="str">
        <f>IF(COUNTIF(PC.TU105.Inp!$C65:$L65,"")=10,"","NULL")</f>
        <v>NULL</v>
      </c>
      <c r="D65" s="6" t="str">
        <f>IF(COUNTIF(PC.TU105.Inp!$C65:$L65,"")=10,"","NULL")</f>
        <v>NULL</v>
      </c>
      <c r="E65" s="6">
        <f>IF(COUNTIF(PC.TU105.Inp!$C65:$L65,"")=10,"",$B65)</f>
        <v>64</v>
      </c>
      <c r="F65" s="6">
        <f>IF(COUNTIF(PC.TU105.Inp!$C65:$L65,"")=10,"",IF(PC.TU105.Inp!$C65="","NULL",PC.TU105.Inp!$C65))</f>
        <v>1188</v>
      </c>
      <c r="G65" s="6">
        <f>IF(COUNTIF(PC.TU105.Inp!$C65:$L65,"")=10,"",IF(PC.TU105.Inp!$D65="","NULL",PC.TU105.Inp!$D65))</f>
        <v>108</v>
      </c>
      <c r="H65" s="6">
        <f>IF(COUNTIF(PC.TU105.Inp!$C65:$L65,"")=10,"",IF(PC.TU105.Inp!$E65="","NULL",PC.TU105.Inp!$E65))</f>
        <v>72</v>
      </c>
      <c r="I65" s="6">
        <f>IF(COUNTIF(PC.TU105.Inp!$C65:$L65,"")=10,"",IF(PC.TU105.Inp!$F65="","NULL",PC.TU105.Inp!$F65))</f>
        <v>72</v>
      </c>
      <c r="J65" s="6" t="str">
        <f>IF(COUNTIF(PC.TU105.Inp!$C65:$L65,"")=10,"",IF(PC.TU105.Inp!$G65="","NULL",""""&amp;PC.TU105.Inp!$G65&amp;""""))</f>
        <v>NULL</v>
      </c>
      <c r="K65" s="6" t="str">
        <f>IF(COUNTIF(PC.TU105.Inp!$C65:$L65,"")=10,"",IF(PC.TU105.Inp!$H65="","NULL",""""&amp;PC.TU105.Inp!$H65&amp;""""))</f>
        <v>"Home"</v>
      </c>
      <c r="L65" s="6" t="str">
        <f>IF(COUNTIF(PC.TU105.Inp!$C65:$L65,"")=10,"",IF(PC.TU105.Inp!$I65="","NULL",""""&amp;PC.TU105.Inp!$I65&amp;""""))</f>
        <v>NULL</v>
      </c>
      <c r="M65" s="6" t="str">
        <f>IF(COUNTIF(PC.TU105.Inp!$C65:$L65,"")=10,"",IF(PC.TU105.Inp!$J65="","NULL",""""&amp;PC.TU105.Inp!$J65&amp;""""))</f>
        <v>NULL</v>
      </c>
      <c r="N65" s="6">
        <f>IF(COUNTIF(PC.TU105.Inp!$C65:$L65,"")=10,"",IF(PC.TU105.Inp!$K65="","NULL",PC.TU105.Inp!$K65))</f>
        <v>0</v>
      </c>
      <c r="O65" s="6">
        <f>IF(COUNTIF(PC.TU105.Inp!$C65:$L65,"")=10,"",IF(PC.TU105.Inp!$L65="","NULL",PC.TU105.Inp!$L65))</f>
        <v>0</v>
      </c>
      <c r="P65" s="7" t="e">
        <f ca="1">IF(COUNTIF(PC.TU105.Inp!$C65:$L65,"")=10,"","("&amp;_xlfn.TEXTJOIN(",",FALSE,$C65:$O65)&amp;"),")</f>
        <v>#NAME?</v>
      </c>
    </row>
    <row r="66" spans="1:16" x14ac:dyDescent="0.3">
      <c r="A66" s="1" t="s">
        <v>181</v>
      </c>
      <c r="B66" s="1">
        <f t="shared" ref="B66:B119" si="1">ROW(B66)-1</f>
        <v>65</v>
      </c>
      <c r="C66" s="6" t="str">
        <f>IF(COUNTIF(PC.TU105.Inp!$C66:$L66,"")=10,"","NULL")</f>
        <v>NULL</v>
      </c>
      <c r="D66" s="6" t="str">
        <f>IF(COUNTIF(PC.TU105.Inp!$C66:$L66,"")=10,"","NULL")</f>
        <v>NULL</v>
      </c>
      <c r="E66" s="6">
        <f>IF(COUNTIF(PC.TU105.Inp!$C66:$L66,"")=10,"",$B66)</f>
        <v>65</v>
      </c>
      <c r="F66" s="6">
        <f>IF(COUNTIF(PC.TU105.Inp!$C66:$L66,"")=10,"",IF(PC.TU105.Inp!$C66="","NULL",PC.TU105.Inp!$C66))</f>
        <v>1188</v>
      </c>
      <c r="G66" s="6">
        <f>IF(COUNTIF(PC.TU105.Inp!$C66:$L66,"")=10,"",IF(PC.TU105.Inp!$D66="","NULL",PC.TU105.Inp!$D66))</f>
        <v>180</v>
      </c>
      <c r="H66" s="6">
        <f>IF(COUNTIF(PC.TU105.Inp!$C66:$L66,"")=10,"",IF(PC.TU105.Inp!$E66="","NULL",PC.TU105.Inp!$E66))</f>
        <v>72</v>
      </c>
      <c r="I66" s="6">
        <f>IF(COUNTIF(PC.TU105.Inp!$C66:$L66,"")=10,"",IF(PC.TU105.Inp!$F66="","NULL",PC.TU105.Inp!$F66))</f>
        <v>72</v>
      </c>
      <c r="J66" s="6" t="str">
        <f>IF(COUNTIF(PC.TU105.Inp!$C66:$L66,"")=10,"",IF(PC.TU105.Inp!$G66="","NULL",""""&amp;PC.TU105.Inp!$G66&amp;""""))</f>
        <v>NULL</v>
      </c>
      <c r="K66" s="6" t="str">
        <f>IF(COUNTIF(PC.TU105.Inp!$C66:$L66,"")=10,"",IF(PC.TU105.Inp!$H66="","NULL",""""&amp;PC.TU105.Inp!$H66&amp;""""))</f>
        <v>"End"</v>
      </c>
      <c r="L66" s="6" t="str">
        <f>IF(COUNTIF(PC.TU105.Inp!$C66:$L66,"")=10,"",IF(PC.TU105.Inp!$I66="","NULL",""""&amp;PC.TU105.Inp!$I66&amp;""""))</f>
        <v>NULL</v>
      </c>
      <c r="M66" s="6" t="str">
        <f>IF(COUNTIF(PC.TU105.Inp!$C66:$L66,"")=10,"",IF(PC.TU105.Inp!$J66="","NULL",""""&amp;PC.TU105.Inp!$J66&amp;""""))</f>
        <v>NULL</v>
      </c>
      <c r="N66" s="6">
        <f>IF(COUNTIF(PC.TU105.Inp!$C66:$L66,"")=10,"",IF(PC.TU105.Inp!$K66="","NULL",PC.TU105.Inp!$K66))</f>
        <v>0</v>
      </c>
      <c r="O66" s="6">
        <f>IF(COUNTIF(PC.TU105.Inp!$C66:$L66,"")=10,"",IF(PC.TU105.Inp!$L66="","NULL",PC.TU105.Inp!$L66))</f>
        <v>0</v>
      </c>
      <c r="P66" s="7" t="e">
        <f ca="1">IF(COUNTIF(PC.TU105.Inp!$C66:$L66,"")=10,"","("&amp;_xlfn.TEXTJOIN(",",FALSE,$C66:$O66)&amp;"),")</f>
        <v>#NAME?</v>
      </c>
    </row>
    <row r="67" spans="1:16" x14ac:dyDescent="0.3">
      <c r="A67" s="1" t="s">
        <v>176</v>
      </c>
      <c r="B67" s="1">
        <f t="shared" si="1"/>
        <v>66</v>
      </c>
      <c r="C67" s="6" t="str">
        <f>IF(COUNTIF(PC.TU105.Inp!$C67:$L67,"")=10,"","NULL")</f>
        <v>NULL</v>
      </c>
      <c r="D67" s="6" t="str">
        <f>IF(COUNTIF(PC.TU105.Inp!$C67:$L67,"")=10,"","NULL")</f>
        <v>NULL</v>
      </c>
      <c r="E67" s="6">
        <f>IF(COUNTIF(PC.TU105.Inp!$C67:$L67,"")=10,"",$B67)</f>
        <v>66</v>
      </c>
      <c r="F67" s="6">
        <f>IF(COUNTIF(PC.TU105.Inp!$C67:$L67,"")=10,"",IF(PC.TU105.Inp!$C67="","NULL",PC.TU105.Inp!$C67))</f>
        <v>1188</v>
      </c>
      <c r="G67" s="6">
        <f>IF(COUNTIF(PC.TU105.Inp!$C67:$L67,"")=10,"",IF(PC.TU105.Inp!$D67="","NULL",PC.TU105.Inp!$D67))</f>
        <v>324</v>
      </c>
      <c r="H67" s="6">
        <f>IF(COUNTIF(PC.TU105.Inp!$C67:$L67,"")=10,"",IF(PC.TU105.Inp!$E67="","NULL",PC.TU105.Inp!$E67))</f>
        <v>72</v>
      </c>
      <c r="I67" s="6">
        <f>IF(COUNTIF(PC.TU105.Inp!$C67:$L67,"")=10,"",IF(PC.TU105.Inp!$F67="","NULL",PC.TU105.Inp!$F67))</f>
        <v>72</v>
      </c>
      <c r="J67" s="6" t="str">
        <f>IF(COUNTIF(PC.TU105.Inp!$C67:$L67,"")=10,"",IF(PC.TU105.Inp!$G67="","NULL",""""&amp;PC.TU105.Inp!$G67&amp;""""))</f>
        <v>NULL</v>
      </c>
      <c r="K67" s="6" t="str">
        <f>IF(COUNTIF(PC.TU105.Inp!$C67:$L67,"")=10,"",IF(PC.TU105.Inp!$H67="","NULL",""""&amp;PC.TU105.Inp!$H67&amp;""""))</f>
        <v>"Up"</v>
      </c>
      <c r="L67" s="6" t="str">
        <f>IF(COUNTIF(PC.TU105.Inp!$C67:$L67,"")=10,"",IF(PC.TU105.Inp!$I67="","NULL",""""&amp;PC.TU105.Inp!$I67&amp;""""))</f>
        <v>NULL</v>
      </c>
      <c r="M67" s="6" t="str">
        <f>IF(COUNTIF(PC.TU105.Inp!$C67:$L67,"")=10,"",IF(PC.TU105.Inp!$J67="","NULL",""""&amp;PC.TU105.Inp!$J67&amp;""""))</f>
        <v>NULL</v>
      </c>
      <c r="N67" s="6">
        <f>IF(COUNTIF(PC.TU105.Inp!$C67:$L67,"")=10,"",IF(PC.TU105.Inp!$K67="","NULL",PC.TU105.Inp!$K67))</f>
        <v>0</v>
      </c>
      <c r="O67" s="6">
        <f>IF(COUNTIF(PC.TU105.Inp!$C67:$L67,"")=10,"",IF(PC.TU105.Inp!$L67="","NULL",PC.TU105.Inp!$L67))</f>
        <v>0</v>
      </c>
      <c r="P67" s="7" t="e">
        <f ca="1">IF(COUNTIF(PC.TU105.Inp!$C67:$L67,"")=10,"","("&amp;_xlfn.TEXTJOIN(",",FALSE,$C67:$O67)&amp;"),")</f>
        <v>#NAME?</v>
      </c>
    </row>
    <row r="68" spans="1:16" x14ac:dyDescent="0.3">
      <c r="A68" s="1" t="s">
        <v>177</v>
      </c>
      <c r="B68" s="1">
        <f t="shared" si="1"/>
        <v>67</v>
      </c>
      <c r="C68" s="6" t="str">
        <f>IF(COUNTIF(PC.TU105.Inp!$C68:$L68,"")=10,"","NULL")</f>
        <v>NULL</v>
      </c>
      <c r="D68" s="6" t="str">
        <f>IF(COUNTIF(PC.TU105.Inp!$C68:$L68,"")=10,"","NULL")</f>
        <v>NULL</v>
      </c>
      <c r="E68" s="6">
        <f>IF(COUNTIF(PC.TU105.Inp!$C68:$L68,"")=10,"",$B68)</f>
        <v>67</v>
      </c>
      <c r="F68" s="6">
        <f>IF(COUNTIF(PC.TU105.Inp!$C68:$L68,"")=10,"",IF(PC.TU105.Inp!$C68="","NULL",PC.TU105.Inp!$C68))</f>
        <v>1188</v>
      </c>
      <c r="G68" s="6">
        <f>IF(COUNTIF(PC.TU105.Inp!$C68:$L68,"")=10,"",IF(PC.TU105.Inp!$D68="","NULL",PC.TU105.Inp!$D68))</f>
        <v>396</v>
      </c>
      <c r="H68" s="6">
        <f>IF(COUNTIF(PC.TU105.Inp!$C68:$L68,"")=10,"",IF(PC.TU105.Inp!$E68="","NULL",PC.TU105.Inp!$E68))</f>
        <v>72</v>
      </c>
      <c r="I68" s="6">
        <f>IF(COUNTIF(PC.TU105.Inp!$C68:$L68,"")=10,"",IF(PC.TU105.Inp!$F68="","NULL",PC.TU105.Inp!$F68))</f>
        <v>72</v>
      </c>
      <c r="J68" s="6" t="str">
        <f>IF(COUNTIF(PC.TU105.Inp!$C68:$L68,"")=10,"",IF(PC.TU105.Inp!$G68="","NULL",""""&amp;PC.TU105.Inp!$G68&amp;""""))</f>
        <v>NULL</v>
      </c>
      <c r="K68" s="6" t="str">
        <f>IF(COUNTIF(PC.TU105.Inp!$C68:$L68,"")=10,"",IF(PC.TU105.Inp!$H68="","NULL",""""&amp;PC.TU105.Inp!$H68&amp;""""))</f>
        <v>"Down"</v>
      </c>
      <c r="L68" s="6" t="str">
        <f>IF(COUNTIF(PC.TU105.Inp!$C68:$L68,"")=10,"",IF(PC.TU105.Inp!$I68="","NULL",""""&amp;PC.TU105.Inp!$I68&amp;""""))</f>
        <v>NULL</v>
      </c>
      <c r="M68" s="6" t="str">
        <f>IF(COUNTIF(PC.TU105.Inp!$C68:$L68,"")=10,"",IF(PC.TU105.Inp!$J68="","NULL",""""&amp;PC.TU105.Inp!$J68&amp;""""))</f>
        <v>NULL</v>
      </c>
      <c r="N68" s="6">
        <f>IF(COUNTIF(PC.TU105.Inp!$C68:$L68,"")=10,"",IF(PC.TU105.Inp!$K68="","NULL",PC.TU105.Inp!$K68))</f>
        <v>0</v>
      </c>
      <c r="O68" s="6">
        <f>IF(COUNTIF(PC.TU105.Inp!$C68:$L68,"")=10,"",IF(PC.TU105.Inp!$L68="","NULL",PC.TU105.Inp!$L68))</f>
        <v>0</v>
      </c>
      <c r="P68" s="7" t="e">
        <f ca="1">IF(COUNTIF(PC.TU105.Inp!$C68:$L68,"")=10,"","("&amp;_xlfn.TEXTJOIN(",",FALSE,$C68:$O68)&amp;"),")</f>
        <v>#NAME?</v>
      </c>
    </row>
    <row r="69" spans="1:16" x14ac:dyDescent="0.3">
      <c r="A69" s="1" t="s">
        <v>178</v>
      </c>
      <c r="B69" s="1">
        <f t="shared" si="1"/>
        <v>68</v>
      </c>
      <c r="C69" s="6" t="str">
        <f>IF(COUNTIF(PC.TU105.Inp!$C69:$L69,"")=10,"","NULL")</f>
        <v>NULL</v>
      </c>
      <c r="D69" s="6" t="str">
        <f>IF(COUNTIF(PC.TU105.Inp!$C69:$L69,"")=10,"","NULL")</f>
        <v>NULL</v>
      </c>
      <c r="E69" s="6">
        <f>IF(COUNTIF(PC.TU105.Inp!$C69:$L69,"")=10,"",$B69)</f>
        <v>68</v>
      </c>
      <c r="F69" s="6">
        <f>IF(COUNTIF(PC.TU105.Inp!$C69:$L69,"")=10,"",IF(PC.TU105.Inp!$C69="","NULL",PC.TU105.Inp!$C69))</f>
        <v>1260</v>
      </c>
      <c r="G69" s="6">
        <f>IF(COUNTIF(PC.TU105.Inp!$C69:$L69,"")=10,"",IF(PC.TU105.Inp!$D69="","NULL",PC.TU105.Inp!$D69))</f>
        <v>108</v>
      </c>
      <c r="H69" s="6">
        <f>IF(COUNTIF(PC.TU105.Inp!$C69:$L69,"")=10,"",IF(PC.TU105.Inp!$E69="","NULL",PC.TU105.Inp!$E69))</f>
        <v>72</v>
      </c>
      <c r="I69" s="6">
        <f>IF(COUNTIF(PC.TU105.Inp!$C69:$L69,"")=10,"",IF(PC.TU105.Inp!$F69="","NULL",PC.TU105.Inp!$F69))</f>
        <v>72</v>
      </c>
      <c r="J69" s="6" t="str">
        <f>IF(COUNTIF(PC.TU105.Inp!$C69:$L69,"")=10,"",IF(PC.TU105.Inp!$G69="","NULL",""""&amp;PC.TU105.Inp!$G69&amp;""""))</f>
        <v>NULL</v>
      </c>
      <c r="K69" s="6" t="str">
        <f>IF(COUNTIF(PC.TU105.Inp!$C69:$L69,"")=10,"",IF(PC.TU105.Inp!$H69="","NULL",""""&amp;PC.TU105.Inp!$H69&amp;""""))</f>
        <v>"Page Up"</v>
      </c>
      <c r="L69" s="6" t="str">
        <f>IF(COUNTIF(PC.TU105.Inp!$C69:$L69,"")=10,"",IF(PC.TU105.Inp!$I69="","NULL",""""&amp;PC.TU105.Inp!$I69&amp;""""))</f>
        <v>NULL</v>
      </c>
      <c r="M69" s="6" t="str">
        <f>IF(COUNTIF(PC.TU105.Inp!$C69:$L69,"")=10,"",IF(PC.TU105.Inp!$J69="","NULL",""""&amp;PC.TU105.Inp!$J69&amp;""""))</f>
        <v>NULL</v>
      </c>
      <c r="N69" s="6">
        <f>IF(COUNTIF(PC.TU105.Inp!$C69:$L69,"")=10,"",IF(PC.TU105.Inp!$K69="","NULL",PC.TU105.Inp!$K69))</f>
        <v>0</v>
      </c>
      <c r="O69" s="6">
        <f>IF(COUNTIF(PC.TU105.Inp!$C69:$L69,"")=10,"",IF(PC.TU105.Inp!$L69="","NULL",PC.TU105.Inp!$L69))</f>
        <v>0</v>
      </c>
      <c r="P69" s="7" t="e">
        <f ca="1">IF(COUNTIF(PC.TU105.Inp!$C69:$L69,"")=10,"","("&amp;_xlfn.TEXTJOIN(",",FALSE,$C69:$O69)&amp;"),")</f>
        <v>#NAME?</v>
      </c>
    </row>
    <row r="70" spans="1:16" x14ac:dyDescent="0.3">
      <c r="A70" s="1" t="s">
        <v>182</v>
      </c>
      <c r="B70" s="1">
        <f t="shared" si="1"/>
        <v>69</v>
      </c>
      <c r="C70" s="6" t="str">
        <f>IF(COUNTIF(PC.TU105.Inp!$C70:$L70,"")=10,"","NULL")</f>
        <v>NULL</v>
      </c>
      <c r="D70" s="6" t="str">
        <f>IF(COUNTIF(PC.TU105.Inp!$C70:$L70,"")=10,"","NULL")</f>
        <v>NULL</v>
      </c>
      <c r="E70" s="6">
        <f>IF(COUNTIF(PC.TU105.Inp!$C70:$L70,"")=10,"",$B70)</f>
        <v>69</v>
      </c>
      <c r="F70" s="6">
        <f>IF(COUNTIF(PC.TU105.Inp!$C70:$L70,"")=10,"",IF(PC.TU105.Inp!$C70="","NULL",PC.TU105.Inp!$C70))</f>
        <v>1260</v>
      </c>
      <c r="G70" s="6">
        <f>IF(COUNTIF(PC.TU105.Inp!$C70:$L70,"")=10,"",IF(PC.TU105.Inp!$D70="","NULL",PC.TU105.Inp!$D70))</f>
        <v>180</v>
      </c>
      <c r="H70" s="6">
        <f>IF(COUNTIF(PC.TU105.Inp!$C70:$L70,"")=10,"",IF(PC.TU105.Inp!$E70="","NULL",PC.TU105.Inp!$E70))</f>
        <v>72</v>
      </c>
      <c r="I70" s="6">
        <f>IF(COUNTIF(PC.TU105.Inp!$C70:$L70,"")=10,"",IF(PC.TU105.Inp!$F70="","NULL",PC.TU105.Inp!$F70))</f>
        <v>72</v>
      </c>
      <c r="J70" s="6" t="str">
        <f>IF(COUNTIF(PC.TU105.Inp!$C70:$L70,"")=10,"",IF(PC.TU105.Inp!$G70="","NULL",""""&amp;PC.TU105.Inp!$G70&amp;""""))</f>
        <v>NULL</v>
      </c>
      <c r="K70" s="6" t="str">
        <f>IF(COUNTIF(PC.TU105.Inp!$C70:$L70,"")=10,"",IF(PC.TU105.Inp!$H70="","NULL",""""&amp;PC.TU105.Inp!$H70&amp;""""))</f>
        <v>"Page Dn"</v>
      </c>
      <c r="L70" s="6" t="str">
        <f>IF(COUNTIF(PC.TU105.Inp!$C70:$L70,"")=10,"",IF(PC.TU105.Inp!$I70="","NULL",""""&amp;PC.TU105.Inp!$I70&amp;""""))</f>
        <v>NULL</v>
      </c>
      <c r="M70" s="6" t="str">
        <f>IF(COUNTIF(PC.TU105.Inp!$C70:$L70,"")=10,"",IF(PC.TU105.Inp!$J70="","NULL",""""&amp;PC.TU105.Inp!$J70&amp;""""))</f>
        <v>NULL</v>
      </c>
      <c r="N70" s="6">
        <f>IF(COUNTIF(PC.TU105.Inp!$C70:$L70,"")=10,"",IF(PC.TU105.Inp!$K70="","NULL",PC.TU105.Inp!$K70))</f>
        <v>0</v>
      </c>
      <c r="O70" s="6">
        <f>IF(COUNTIF(PC.TU105.Inp!$C70:$L70,"")=10,"",IF(PC.TU105.Inp!$L70="","NULL",PC.TU105.Inp!$L70))</f>
        <v>0</v>
      </c>
      <c r="P70" s="7" t="e">
        <f ca="1">IF(COUNTIF(PC.TU105.Inp!$C70:$L70,"")=10,"","("&amp;_xlfn.TEXTJOIN(",",FALSE,$C70:$O70)&amp;"),")</f>
        <v>#NAME?</v>
      </c>
    </row>
    <row r="71" spans="1:16" x14ac:dyDescent="0.3">
      <c r="A71" s="1" t="s">
        <v>179</v>
      </c>
      <c r="B71" s="1">
        <f t="shared" si="1"/>
        <v>70</v>
      </c>
      <c r="C71" s="6" t="str">
        <f>IF(COUNTIF(PC.TU105.Inp!$C71:$L71,"")=10,"","NULL")</f>
        <v>NULL</v>
      </c>
      <c r="D71" s="6" t="str">
        <f>IF(COUNTIF(PC.TU105.Inp!$C71:$L71,"")=10,"","NULL")</f>
        <v>NULL</v>
      </c>
      <c r="E71" s="6">
        <f>IF(COUNTIF(PC.TU105.Inp!$C71:$L71,"")=10,"",$B71)</f>
        <v>70</v>
      </c>
      <c r="F71" s="6">
        <f>IF(COUNTIF(PC.TU105.Inp!$C71:$L71,"")=10,"",IF(PC.TU105.Inp!$C71="","NULL",PC.TU105.Inp!$C71))</f>
        <v>1260</v>
      </c>
      <c r="G71" s="6">
        <f>IF(COUNTIF(PC.TU105.Inp!$C71:$L71,"")=10,"",IF(PC.TU105.Inp!$D71="","NULL",PC.TU105.Inp!$D71))</f>
        <v>396</v>
      </c>
      <c r="H71" s="6">
        <f>IF(COUNTIF(PC.TU105.Inp!$C71:$L71,"")=10,"",IF(PC.TU105.Inp!$E71="","NULL",PC.TU105.Inp!$E71))</f>
        <v>72</v>
      </c>
      <c r="I71" s="6">
        <f>IF(COUNTIF(PC.TU105.Inp!$C71:$L71,"")=10,"",IF(PC.TU105.Inp!$F71="","NULL",PC.TU105.Inp!$F71))</f>
        <v>72</v>
      </c>
      <c r="J71" s="6" t="str">
        <f>IF(COUNTIF(PC.TU105.Inp!$C71:$L71,"")=10,"",IF(PC.TU105.Inp!$G71="","NULL",""""&amp;PC.TU105.Inp!$G71&amp;""""))</f>
        <v>NULL</v>
      </c>
      <c r="K71" s="6" t="str">
        <f>IF(COUNTIF(PC.TU105.Inp!$C71:$L71,"")=10,"",IF(PC.TU105.Inp!$H71="","NULL",""""&amp;PC.TU105.Inp!$H71&amp;""""))</f>
        <v>"Right"</v>
      </c>
      <c r="L71" s="6" t="str">
        <f>IF(COUNTIF(PC.TU105.Inp!$C71:$L71,"")=10,"",IF(PC.TU105.Inp!$I71="","NULL",""""&amp;PC.TU105.Inp!$I71&amp;""""))</f>
        <v>NULL</v>
      </c>
      <c r="M71" s="6" t="str">
        <f>IF(COUNTIF(PC.TU105.Inp!$C71:$L71,"")=10,"",IF(PC.TU105.Inp!$J71="","NULL",""""&amp;PC.TU105.Inp!$J71&amp;""""))</f>
        <v>NULL</v>
      </c>
      <c r="N71" s="6">
        <f>IF(COUNTIF(PC.TU105.Inp!$C71:$L71,"")=10,"",IF(PC.TU105.Inp!$K71="","NULL",PC.TU105.Inp!$K71))</f>
        <v>0</v>
      </c>
      <c r="O71" s="6">
        <f>IF(COUNTIF(PC.TU105.Inp!$C71:$L71,"")=10,"",IF(PC.TU105.Inp!$L71="","NULL",PC.TU105.Inp!$L71))</f>
        <v>0</v>
      </c>
      <c r="P71" s="7" t="e">
        <f ca="1">IF(COUNTIF(PC.TU105.Inp!$C71:$L71,"")=10,"","("&amp;_xlfn.TEXTJOIN(",",FALSE,$C71:$O71)&amp;"),")</f>
        <v>#NAME?</v>
      </c>
    </row>
    <row r="72" spans="1:16" x14ac:dyDescent="0.3">
      <c r="A72" s="1" t="s">
        <v>180</v>
      </c>
      <c r="B72" s="1">
        <f t="shared" si="1"/>
        <v>71</v>
      </c>
      <c r="C72" s="6" t="str">
        <f>IF(COUNTIF(PC.TU105.Inp!$C72:$L72,"")=10,"","NULL")</f>
        <v>NULL</v>
      </c>
      <c r="D72" s="6" t="str">
        <f>IF(COUNTIF(PC.TU105.Inp!$C72:$L72,"")=10,"","NULL")</f>
        <v>NULL</v>
      </c>
      <c r="E72" s="6">
        <f>IF(COUNTIF(PC.TU105.Inp!$C72:$L72,"")=10,"",$B72)</f>
        <v>71</v>
      </c>
      <c r="F72" s="6">
        <f>IF(COUNTIF(PC.TU105.Inp!$C72:$L72,"")=10,"",IF(PC.TU105.Inp!$C72="","NULL",PC.TU105.Inp!$C72))</f>
        <v>1368</v>
      </c>
      <c r="G72" s="6">
        <f>IF(COUNTIF(PC.TU105.Inp!$C72:$L72,"")=10,"",IF(PC.TU105.Inp!$D72="","NULL",PC.TU105.Inp!$D72))</f>
        <v>108</v>
      </c>
      <c r="H72" s="6">
        <f>IF(COUNTIF(PC.TU105.Inp!$C72:$L72,"")=10,"",IF(PC.TU105.Inp!$E72="","NULL",PC.TU105.Inp!$E72))</f>
        <v>72</v>
      </c>
      <c r="I72" s="6">
        <f>IF(COUNTIF(PC.TU105.Inp!$C72:$L72,"")=10,"",IF(PC.TU105.Inp!$F72="","NULL",PC.TU105.Inp!$F72))</f>
        <v>72</v>
      </c>
      <c r="J72" s="6" t="str">
        <f>IF(COUNTIF(PC.TU105.Inp!$C72:$L72,"")=10,"",IF(PC.TU105.Inp!$G72="","NULL",""""&amp;PC.TU105.Inp!$G72&amp;""""))</f>
        <v>NULL</v>
      </c>
      <c r="K72" s="6" t="str">
        <f>IF(COUNTIF(PC.TU105.Inp!$C72:$L72,"")=10,"",IF(PC.TU105.Inp!$H72="","NULL",""""&amp;PC.TU105.Inp!$H72&amp;""""))</f>
        <v>"NumLk"</v>
      </c>
      <c r="L72" s="6" t="str">
        <f>IF(COUNTIF(PC.TU105.Inp!$C72:$L72,"")=10,"",IF(PC.TU105.Inp!$I72="","NULL",""""&amp;PC.TU105.Inp!$I72&amp;""""))</f>
        <v>NULL</v>
      </c>
      <c r="M72" s="6" t="str">
        <f>IF(COUNTIF(PC.TU105.Inp!$C72:$L72,"")=10,"",IF(PC.TU105.Inp!$J72="","NULL",""""&amp;PC.TU105.Inp!$J72&amp;""""))</f>
        <v>NULL</v>
      </c>
      <c r="N72" s="6">
        <f>IF(COUNTIF(PC.TU105.Inp!$C72:$L72,"")=10,"",IF(PC.TU105.Inp!$K72="","NULL",PC.TU105.Inp!$K72))</f>
        <v>0</v>
      </c>
      <c r="O72" s="6">
        <f>IF(COUNTIF(PC.TU105.Inp!$C72:$L72,"")=10,"",IF(PC.TU105.Inp!$L72="","NULL",PC.TU105.Inp!$L72))</f>
        <v>1</v>
      </c>
      <c r="P72" s="7" t="e">
        <f ca="1">IF(COUNTIF(PC.TU105.Inp!$C72:$L72,"")=10,"","("&amp;_xlfn.TEXTJOIN(",",FALSE,$C72:$O72)&amp;"),")</f>
        <v>#NAME?</v>
      </c>
    </row>
    <row r="73" spans="1:16" x14ac:dyDescent="0.3">
      <c r="A73" s="1" t="s">
        <v>175</v>
      </c>
      <c r="B73" s="1">
        <f t="shared" si="1"/>
        <v>72</v>
      </c>
      <c r="C73" s="6" t="str">
        <f>IF(COUNTIF(PC.TU105.Inp!$C73:$L73,"")=10,"","NULL")</f>
        <v>NULL</v>
      </c>
      <c r="D73" s="6" t="str">
        <f>IF(COUNTIF(PC.TU105.Inp!$C73:$L73,"")=10,"","NULL")</f>
        <v>NULL</v>
      </c>
      <c r="E73" s="6">
        <f>IF(COUNTIF(PC.TU105.Inp!$C73:$L73,"")=10,"",$B73)</f>
        <v>72</v>
      </c>
      <c r="F73" s="6">
        <f>IF(COUNTIF(PC.TU105.Inp!$C73:$L73,"")=10,"",IF(PC.TU105.Inp!$C73="","NULL",PC.TU105.Inp!$C73))</f>
        <v>1368</v>
      </c>
      <c r="G73" s="6">
        <f>IF(COUNTIF(PC.TU105.Inp!$C73:$L73,"")=10,"",IF(PC.TU105.Inp!$D73="","NULL",PC.TU105.Inp!$D73))</f>
        <v>180</v>
      </c>
      <c r="H73" s="6">
        <f>IF(COUNTIF(PC.TU105.Inp!$C73:$L73,"")=10,"",IF(PC.TU105.Inp!$E73="","NULL",PC.TU105.Inp!$E73))</f>
        <v>72</v>
      </c>
      <c r="I73" s="6">
        <f>IF(COUNTIF(PC.TU105.Inp!$C73:$L73,"")=10,"",IF(PC.TU105.Inp!$F73="","NULL",PC.TU105.Inp!$F73))</f>
        <v>72</v>
      </c>
      <c r="J73" s="6" t="str">
        <f>IF(COUNTIF(PC.TU105.Inp!$C73:$L73,"")=10,"",IF(PC.TU105.Inp!$G73="","NULL",""""&amp;PC.TU105.Inp!$G73&amp;""""))</f>
        <v>"7"</v>
      </c>
      <c r="K73" s="6" t="str">
        <f>IF(COUNTIF(PC.TU105.Inp!$C73:$L73,"")=10,"",IF(PC.TU105.Inp!$H73="","NULL",""""&amp;PC.TU105.Inp!$H73&amp;""""))</f>
        <v>"Home"</v>
      </c>
      <c r="L73" s="6" t="str">
        <f>IF(COUNTIF(PC.TU105.Inp!$C73:$L73,"")=10,"",IF(PC.TU105.Inp!$I73="","NULL",""""&amp;PC.TU105.Inp!$I73&amp;""""))</f>
        <v>NULL</v>
      </c>
      <c r="M73" s="6" t="str">
        <f>IF(COUNTIF(PC.TU105.Inp!$C73:$L73,"")=10,"",IF(PC.TU105.Inp!$J73="","NULL",""""&amp;PC.TU105.Inp!$J73&amp;""""))</f>
        <v>NULL</v>
      </c>
      <c r="N73" s="6">
        <f>IF(COUNTIF(PC.TU105.Inp!$C73:$L73,"")=10,"",IF(PC.TU105.Inp!$K73="","NULL",PC.TU105.Inp!$K73))</f>
        <v>0</v>
      </c>
      <c r="O73" s="6">
        <f>IF(COUNTIF(PC.TU105.Inp!$C73:$L73,"")=10,"",IF(PC.TU105.Inp!$L73="","NULL",PC.TU105.Inp!$L73))</f>
        <v>1</v>
      </c>
      <c r="P73" s="7" t="e">
        <f ca="1">IF(COUNTIF(PC.TU105.Inp!$C73:$L73,"")=10,"","("&amp;_xlfn.TEXTJOIN(",",FALSE,$C73:$O73)&amp;"),")</f>
        <v>#NAME?</v>
      </c>
    </row>
    <row r="74" spans="1:16" x14ac:dyDescent="0.3">
      <c r="A74" s="1" t="s">
        <v>174</v>
      </c>
      <c r="B74" s="1">
        <f t="shared" si="1"/>
        <v>73</v>
      </c>
      <c r="C74" s="6" t="str">
        <f>IF(COUNTIF(PC.TU105.Inp!$C74:$L74,"")=10,"","NULL")</f>
        <v>NULL</v>
      </c>
      <c r="D74" s="6" t="str">
        <f>IF(COUNTIF(PC.TU105.Inp!$C74:$L74,"")=10,"","NULL")</f>
        <v>NULL</v>
      </c>
      <c r="E74" s="6">
        <f>IF(COUNTIF(PC.TU105.Inp!$C74:$L74,"")=10,"",$B74)</f>
        <v>73</v>
      </c>
      <c r="F74" s="6">
        <f>IF(COUNTIF(PC.TU105.Inp!$C74:$L74,"")=10,"",IF(PC.TU105.Inp!$C74="","NULL",PC.TU105.Inp!$C74))</f>
        <v>1368</v>
      </c>
      <c r="G74" s="6">
        <f>IF(COUNTIF(PC.TU105.Inp!$C74:$L74,"")=10,"",IF(PC.TU105.Inp!$D74="","NULL",PC.TU105.Inp!$D74))</f>
        <v>252</v>
      </c>
      <c r="H74" s="6">
        <f>IF(COUNTIF(PC.TU105.Inp!$C74:$L74,"")=10,"",IF(PC.TU105.Inp!$E74="","NULL",PC.TU105.Inp!$E74))</f>
        <v>72</v>
      </c>
      <c r="I74" s="6">
        <f>IF(COUNTIF(PC.TU105.Inp!$C74:$L74,"")=10,"",IF(PC.TU105.Inp!$F74="","NULL",PC.TU105.Inp!$F74))</f>
        <v>72</v>
      </c>
      <c r="J74" s="6" t="str">
        <f>IF(COUNTIF(PC.TU105.Inp!$C74:$L74,"")=10,"",IF(PC.TU105.Inp!$G74="","NULL",""""&amp;PC.TU105.Inp!$G74&amp;""""))</f>
        <v>"4"</v>
      </c>
      <c r="K74" s="6" t="str">
        <f>IF(COUNTIF(PC.TU105.Inp!$C74:$L74,"")=10,"",IF(PC.TU105.Inp!$H74="","NULL",""""&amp;PC.TU105.Inp!$H74&amp;""""))</f>
        <v>"Left"</v>
      </c>
      <c r="L74" s="6" t="str">
        <f>IF(COUNTIF(PC.TU105.Inp!$C74:$L74,"")=10,"",IF(PC.TU105.Inp!$I74="","NULL",""""&amp;PC.TU105.Inp!$I74&amp;""""))</f>
        <v>NULL</v>
      </c>
      <c r="M74" s="6" t="str">
        <f>IF(COUNTIF(PC.TU105.Inp!$C74:$L74,"")=10,"",IF(PC.TU105.Inp!$J74="","NULL",""""&amp;PC.TU105.Inp!$J74&amp;""""))</f>
        <v>NULL</v>
      </c>
      <c r="N74" s="6">
        <f>IF(COUNTIF(PC.TU105.Inp!$C74:$L74,"")=10,"",IF(PC.TU105.Inp!$K74="","NULL",PC.TU105.Inp!$K74))</f>
        <v>0</v>
      </c>
      <c r="O74" s="6">
        <f>IF(COUNTIF(PC.TU105.Inp!$C74:$L74,"")=10,"",IF(PC.TU105.Inp!$L74="","NULL",PC.TU105.Inp!$L74))</f>
        <v>1</v>
      </c>
      <c r="P74" s="7" t="e">
        <f ca="1">IF(COUNTIF(PC.TU105.Inp!$C74:$L74,"")=10,"","("&amp;_xlfn.TEXTJOIN(",",FALSE,$C74:$O74)&amp;"),")</f>
        <v>#NAME?</v>
      </c>
    </row>
    <row r="75" spans="1:16" x14ac:dyDescent="0.3">
      <c r="A75" s="1" t="s">
        <v>181</v>
      </c>
      <c r="B75" s="1">
        <f t="shared" si="1"/>
        <v>74</v>
      </c>
      <c r="C75" s="6" t="str">
        <f>IF(COUNTIF(PC.TU105.Inp!$C75:$L75,"")=10,"","NULL")</f>
        <v>NULL</v>
      </c>
      <c r="D75" s="6" t="str">
        <f>IF(COUNTIF(PC.TU105.Inp!$C75:$L75,"")=10,"","NULL")</f>
        <v>NULL</v>
      </c>
      <c r="E75" s="6">
        <f>IF(COUNTIF(PC.TU105.Inp!$C75:$L75,"")=10,"",$B75)</f>
        <v>74</v>
      </c>
      <c r="F75" s="6">
        <f>IF(COUNTIF(PC.TU105.Inp!$C75:$L75,"")=10,"",IF(PC.TU105.Inp!$C75="","NULL",PC.TU105.Inp!$C75))</f>
        <v>1368</v>
      </c>
      <c r="G75" s="6">
        <f>IF(COUNTIF(PC.TU105.Inp!$C75:$L75,"")=10,"",IF(PC.TU105.Inp!$D75="","NULL",PC.TU105.Inp!$D75))</f>
        <v>324</v>
      </c>
      <c r="H75" s="6">
        <f>IF(COUNTIF(PC.TU105.Inp!$C75:$L75,"")=10,"",IF(PC.TU105.Inp!$E75="","NULL",PC.TU105.Inp!$E75))</f>
        <v>72</v>
      </c>
      <c r="I75" s="6">
        <f>IF(COUNTIF(PC.TU105.Inp!$C75:$L75,"")=10,"",IF(PC.TU105.Inp!$F75="","NULL",PC.TU105.Inp!$F75))</f>
        <v>72</v>
      </c>
      <c r="J75" s="6" t="str">
        <f>IF(COUNTIF(PC.TU105.Inp!$C75:$L75,"")=10,"",IF(PC.TU105.Inp!$G75="","NULL",""""&amp;PC.TU105.Inp!$G75&amp;""""))</f>
        <v>"1"</v>
      </c>
      <c r="K75" s="6" t="str">
        <f>IF(COUNTIF(PC.TU105.Inp!$C75:$L75,"")=10,"",IF(PC.TU105.Inp!$H75="","NULL",""""&amp;PC.TU105.Inp!$H75&amp;""""))</f>
        <v>"End"</v>
      </c>
      <c r="L75" s="6" t="str">
        <f>IF(COUNTIF(PC.TU105.Inp!$C75:$L75,"")=10,"",IF(PC.TU105.Inp!$I75="","NULL",""""&amp;PC.TU105.Inp!$I75&amp;""""))</f>
        <v>NULL</v>
      </c>
      <c r="M75" s="6" t="str">
        <f>IF(COUNTIF(PC.TU105.Inp!$C75:$L75,"")=10,"",IF(PC.TU105.Inp!$J75="","NULL",""""&amp;PC.TU105.Inp!$J75&amp;""""))</f>
        <v>NULL</v>
      </c>
      <c r="N75" s="6">
        <f>IF(COUNTIF(PC.TU105.Inp!$C75:$L75,"")=10,"",IF(PC.TU105.Inp!$K75="","NULL",PC.TU105.Inp!$K75))</f>
        <v>0</v>
      </c>
      <c r="O75" s="6">
        <f>IF(COUNTIF(PC.TU105.Inp!$C75:$L75,"")=10,"",IF(PC.TU105.Inp!$L75="","NULL",PC.TU105.Inp!$L75))</f>
        <v>1</v>
      </c>
      <c r="P75" s="7" t="e">
        <f ca="1">IF(COUNTIF(PC.TU105.Inp!$C75:$L75,"")=10,"","("&amp;_xlfn.TEXTJOIN(",",FALSE,$C75:$O75)&amp;"),")</f>
        <v>#NAME?</v>
      </c>
    </row>
    <row r="76" spans="1:16" x14ac:dyDescent="0.3">
      <c r="A76" s="1" t="s">
        <v>23</v>
      </c>
      <c r="B76" s="1">
        <f t="shared" si="1"/>
        <v>75</v>
      </c>
      <c r="C76" s="6" t="str">
        <f>IF(COUNTIF(PC.TU105.Inp!$C76:$L76,"")=10,"","NULL")</f>
        <v>NULL</v>
      </c>
      <c r="D76" s="6" t="str">
        <f>IF(COUNTIF(PC.TU105.Inp!$C76:$L76,"")=10,"","NULL")</f>
        <v>NULL</v>
      </c>
      <c r="E76" s="6">
        <f>IF(COUNTIF(PC.TU105.Inp!$C76:$L76,"")=10,"",$B76)</f>
        <v>75</v>
      </c>
      <c r="F76" s="6">
        <f>IF(COUNTIF(PC.TU105.Inp!$C76:$L76,"")=10,"",IF(PC.TU105.Inp!$C76="","NULL",PC.TU105.Inp!$C76))</f>
        <v>1440</v>
      </c>
      <c r="G76" s="6">
        <f>IF(COUNTIF(PC.TU105.Inp!$C76:$L76,"")=10,"",IF(PC.TU105.Inp!$D76="","NULL",PC.TU105.Inp!$D76))</f>
        <v>108</v>
      </c>
      <c r="H76" s="6">
        <f>IF(COUNTIF(PC.TU105.Inp!$C76:$L76,"")=10,"",IF(PC.TU105.Inp!$E76="","NULL",PC.TU105.Inp!$E76))</f>
        <v>72</v>
      </c>
      <c r="I76" s="6">
        <f>IF(COUNTIF(PC.TU105.Inp!$C76:$L76,"")=10,"",IF(PC.TU105.Inp!$F76="","NULL",PC.TU105.Inp!$F76))</f>
        <v>72</v>
      </c>
      <c r="J76" s="6" t="str">
        <f>IF(COUNTIF(PC.TU105.Inp!$C76:$L76,"")=10,"",IF(PC.TU105.Inp!$G76="","NULL",""""&amp;PC.TU105.Inp!$G76&amp;""""))</f>
        <v>NULL</v>
      </c>
      <c r="K76" s="6" t="str">
        <f>IF(COUNTIF(PC.TU105.Inp!$C76:$L76,"")=10,"",IF(PC.TU105.Inp!$H76="","NULL",""""&amp;PC.TU105.Inp!$H76&amp;""""))</f>
        <v>"/"</v>
      </c>
      <c r="L76" s="6" t="str">
        <f>IF(COUNTIF(PC.TU105.Inp!$C76:$L76,"")=10,"",IF(PC.TU105.Inp!$I76="","NULL",""""&amp;PC.TU105.Inp!$I76&amp;""""))</f>
        <v>NULL</v>
      </c>
      <c r="M76" s="6" t="str">
        <f>IF(COUNTIF(PC.TU105.Inp!$C76:$L76,"")=10,"",IF(PC.TU105.Inp!$J76="","NULL",""""&amp;PC.TU105.Inp!$J76&amp;""""))</f>
        <v>NULL</v>
      </c>
      <c r="N76" s="6">
        <f>IF(COUNTIF(PC.TU105.Inp!$C76:$L76,"")=10,"",IF(PC.TU105.Inp!$K76="","NULL",PC.TU105.Inp!$K76))</f>
        <v>0</v>
      </c>
      <c r="O76" s="6">
        <f>IF(COUNTIF(PC.TU105.Inp!$C76:$L76,"")=10,"",IF(PC.TU105.Inp!$L76="","NULL",PC.TU105.Inp!$L76))</f>
        <v>1</v>
      </c>
      <c r="P76" s="7" t="e">
        <f ca="1">IF(COUNTIF(PC.TU105.Inp!$C76:$L76,"")=10,"","("&amp;_xlfn.TEXTJOIN(",",FALSE,$C76:$O76)&amp;"),")</f>
        <v>#NAME?</v>
      </c>
    </row>
    <row r="77" spans="1:16" x14ac:dyDescent="0.3">
      <c r="A77" s="1" t="s">
        <v>176</v>
      </c>
      <c r="B77" s="1">
        <f t="shared" si="1"/>
        <v>76</v>
      </c>
      <c r="C77" s="6" t="str">
        <f>IF(COUNTIF(PC.TU105.Inp!$C77:$L77,"")=10,"","NULL")</f>
        <v>NULL</v>
      </c>
      <c r="D77" s="6" t="str">
        <f>IF(COUNTIF(PC.TU105.Inp!$C77:$L77,"")=10,"","NULL")</f>
        <v>NULL</v>
      </c>
      <c r="E77" s="6">
        <f>IF(COUNTIF(PC.TU105.Inp!$C77:$L77,"")=10,"",$B77)</f>
        <v>76</v>
      </c>
      <c r="F77" s="6">
        <f>IF(COUNTIF(PC.TU105.Inp!$C77:$L77,"")=10,"",IF(PC.TU105.Inp!$C77="","NULL",PC.TU105.Inp!$C77))</f>
        <v>1440</v>
      </c>
      <c r="G77" s="6">
        <f>IF(COUNTIF(PC.TU105.Inp!$C77:$L77,"")=10,"",IF(PC.TU105.Inp!$D77="","NULL",PC.TU105.Inp!$D77))</f>
        <v>180</v>
      </c>
      <c r="H77" s="6">
        <f>IF(COUNTIF(PC.TU105.Inp!$C77:$L77,"")=10,"",IF(PC.TU105.Inp!$E77="","NULL",PC.TU105.Inp!$E77))</f>
        <v>72</v>
      </c>
      <c r="I77" s="6">
        <f>IF(COUNTIF(PC.TU105.Inp!$C77:$L77,"")=10,"",IF(PC.TU105.Inp!$F77="","NULL",PC.TU105.Inp!$F77))</f>
        <v>72</v>
      </c>
      <c r="J77" s="6" t="str">
        <f>IF(COUNTIF(PC.TU105.Inp!$C77:$L77,"")=10,"",IF(PC.TU105.Inp!$G77="","NULL",""""&amp;PC.TU105.Inp!$G77&amp;""""))</f>
        <v>"8"</v>
      </c>
      <c r="K77" s="6" t="str">
        <f>IF(COUNTIF(PC.TU105.Inp!$C77:$L77,"")=10,"",IF(PC.TU105.Inp!$H77="","NULL",""""&amp;PC.TU105.Inp!$H77&amp;""""))</f>
        <v>"Up"</v>
      </c>
      <c r="L77" s="6" t="str">
        <f>IF(COUNTIF(PC.TU105.Inp!$C77:$L77,"")=10,"",IF(PC.TU105.Inp!$I77="","NULL",""""&amp;PC.TU105.Inp!$I77&amp;""""))</f>
        <v>NULL</v>
      </c>
      <c r="M77" s="6" t="str">
        <f>IF(COUNTIF(PC.TU105.Inp!$C77:$L77,"")=10,"",IF(PC.TU105.Inp!$J77="","NULL",""""&amp;PC.TU105.Inp!$J77&amp;""""))</f>
        <v>NULL</v>
      </c>
      <c r="N77" s="6">
        <f>IF(COUNTIF(PC.TU105.Inp!$C77:$L77,"")=10,"",IF(PC.TU105.Inp!$K77="","NULL",PC.TU105.Inp!$K77))</f>
        <v>0</v>
      </c>
      <c r="O77" s="6">
        <f>IF(COUNTIF(PC.TU105.Inp!$C77:$L77,"")=10,"",IF(PC.TU105.Inp!$L77="","NULL",PC.TU105.Inp!$L77))</f>
        <v>1</v>
      </c>
      <c r="P77" s="7" t="e">
        <f ca="1">IF(COUNTIF(PC.TU105.Inp!$C77:$L77,"")=10,"","("&amp;_xlfn.TEXTJOIN(",",FALSE,$C77:$O77)&amp;"),")</f>
        <v>#NAME?</v>
      </c>
    </row>
    <row r="78" spans="1:16" x14ac:dyDescent="0.3">
      <c r="A78" s="1" t="s">
        <v>156</v>
      </c>
      <c r="B78" s="1">
        <f t="shared" si="1"/>
        <v>77</v>
      </c>
      <c r="C78" s="6" t="str">
        <f>IF(COUNTIF(PC.TU105.Inp!$C78:$L78,"")=10,"","NULL")</f>
        <v>NULL</v>
      </c>
      <c r="D78" s="6" t="str">
        <f>IF(COUNTIF(PC.TU105.Inp!$C78:$L78,"")=10,"","NULL")</f>
        <v>NULL</v>
      </c>
      <c r="E78" s="6">
        <f>IF(COUNTIF(PC.TU105.Inp!$C78:$L78,"")=10,"",$B78)</f>
        <v>77</v>
      </c>
      <c r="F78" s="6">
        <f>IF(COUNTIF(PC.TU105.Inp!$C78:$L78,"")=10,"",IF(PC.TU105.Inp!$C78="","NULL",PC.TU105.Inp!$C78))</f>
        <v>1440</v>
      </c>
      <c r="G78" s="6">
        <f>IF(COUNTIF(PC.TU105.Inp!$C78:$L78,"")=10,"",IF(PC.TU105.Inp!$D78="","NULL",PC.TU105.Inp!$D78))</f>
        <v>252</v>
      </c>
      <c r="H78" s="6">
        <f>IF(COUNTIF(PC.TU105.Inp!$C78:$L78,"")=10,"",IF(PC.TU105.Inp!$E78="","NULL",PC.TU105.Inp!$E78))</f>
        <v>72</v>
      </c>
      <c r="I78" s="6">
        <f>IF(COUNTIF(PC.TU105.Inp!$C78:$L78,"")=10,"",IF(PC.TU105.Inp!$F78="","NULL",PC.TU105.Inp!$F78))</f>
        <v>72</v>
      </c>
      <c r="J78" s="6" t="str">
        <f>IF(COUNTIF(PC.TU105.Inp!$C78:$L78,"")=10,"",IF(PC.TU105.Inp!$G78="","NULL",""""&amp;PC.TU105.Inp!$G78&amp;""""))</f>
        <v>"5"</v>
      </c>
      <c r="K78" s="6" t="str">
        <f>IF(COUNTIF(PC.TU105.Inp!$C78:$L78,"")=10,"",IF(PC.TU105.Inp!$H78="","NULL",""""&amp;PC.TU105.Inp!$H78&amp;""""))</f>
        <v>"blank"</v>
      </c>
      <c r="L78" s="6" t="str">
        <f>IF(COUNTIF(PC.TU105.Inp!$C78:$L78,"")=10,"",IF(PC.TU105.Inp!$I78="","NULL",""""&amp;PC.TU105.Inp!$I78&amp;""""))</f>
        <v>NULL</v>
      </c>
      <c r="M78" s="6" t="str">
        <f>IF(COUNTIF(PC.TU105.Inp!$C78:$L78,"")=10,"",IF(PC.TU105.Inp!$J78="","NULL",""""&amp;PC.TU105.Inp!$J78&amp;""""))</f>
        <v>NULL</v>
      </c>
      <c r="N78" s="6">
        <f>IF(COUNTIF(PC.TU105.Inp!$C78:$L78,"")=10,"",IF(PC.TU105.Inp!$K78="","NULL",PC.TU105.Inp!$K78))</f>
        <v>0</v>
      </c>
      <c r="O78" s="6">
        <f>IF(COUNTIF(PC.TU105.Inp!$C78:$L78,"")=10,"",IF(PC.TU105.Inp!$L78="","NULL",PC.TU105.Inp!$L78))</f>
        <v>1</v>
      </c>
      <c r="P78" s="7" t="e">
        <f ca="1">IF(COUNTIF(PC.TU105.Inp!$C78:$L78,"")=10,"","("&amp;_xlfn.TEXTJOIN(",",FALSE,$C78:$O78)&amp;"),")</f>
        <v>#NAME?</v>
      </c>
    </row>
    <row r="79" spans="1:16" x14ac:dyDescent="0.3">
      <c r="A79" s="1" t="s">
        <v>177</v>
      </c>
      <c r="B79" s="1">
        <f t="shared" si="1"/>
        <v>78</v>
      </c>
      <c r="C79" s="6" t="str">
        <f>IF(COUNTIF(PC.TU105.Inp!$C79:$L79,"")=10,"","NULL")</f>
        <v>NULL</v>
      </c>
      <c r="D79" s="6" t="str">
        <f>IF(COUNTIF(PC.TU105.Inp!$C79:$L79,"")=10,"","NULL")</f>
        <v>NULL</v>
      </c>
      <c r="E79" s="6">
        <f>IF(COUNTIF(PC.TU105.Inp!$C79:$L79,"")=10,"",$B79)</f>
        <v>78</v>
      </c>
      <c r="F79" s="6">
        <f>IF(COUNTIF(PC.TU105.Inp!$C79:$L79,"")=10,"",IF(PC.TU105.Inp!$C79="","NULL",PC.TU105.Inp!$C79))</f>
        <v>1440</v>
      </c>
      <c r="G79" s="6">
        <f>IF(COUNTIF(PC.TU105.Inp!$C79:$L79,"")=10,"",IF(PC.TU105.Inp!$D79="","NULL",PC.TU105.Inp!$D79))</f>
        <v>324</v>
      </c>
      <c r="H79" s="6">
        <f>IF(COUNTIF(PC.TU105.Inp!$C79:$L79,"")=10,"",IF(PC.TU105.Inp!$E79="","NULL",PC.TU105.Inp!$E79))</f>
        <v>72</v>
      </c>
      <c r="I79" s="6">
        <f>IF(COUNTIF(PC.TU105.Inp!$C79:$L79,"")=10,"",IF(PC.TU105.Inp!$F79="","NULL",PC.TU105.Inp!$F79))</f>
        <v>72</v>
      </c>
      <c r="J79" s="6" t="str">
        <f>IF(COUNTIF(PC.TU105.Inp!$C79:$L79,"")=10,"",IF(PC.TU105.Inp!$G79="","NULL",""""&amp;PC.TU105.Inp!$G79&amp;""""))</f>
        <v>"2"</v>
      </c>
      <c r="K79" s="6" t="str">
        <f>IF(COUNTIF(PC.TU105.Inp!$C79:$L79,"")=10,"",IF(PC.TU105.Inp!$H79="","NULL",""""&amp;PC.TU105.Inp!$H79&amp;""""))</f>
        <v>"Down"</v>
      </c>
      <c r="L79" s="6" t="str">
        <f>IF(COUNTIF(PC.TU105.Inp!$C79:$L79,"")=10,"",IF(PC.TU105.Inp!$I79="","NULL",""""&amp;PC.TU105.Inp!$I79&amp;""""))</f>
        <v>NULL</v>
      </c>
      <c r="M79" s="6" t="str">
        <f>IF(COUNTIF(PC.TU105.Inp!$C79:$L79,"")=10,"",IF(PC.TU105.Inp!$J79="","NULL",""""&amp;PC.TU105.Inp!$J79&amp;""""))</f>
        <v>NULL</v>
      </c>
      <c r="N79" s="6">
        <f>IF(COUNTIF(PC.TU105.Inp!$C79:$L79,"")=10,"",IF(PC.TU105.Inp!$K79="","NULL",PC.TU105.Inp!$K79))</f>
        <v>0</v>
      </c>
      <c r="O79" s="6">
        <f>IF(COUNTIF(PC.TU105.Inp!$C79:$L79,"")=10,"",IF(PC.TU105.Inp!$L79="","NULL",PC.TU105.Inp!$L79))</f>
        <v>1</v>
      </c>
      <c r="P79" s="7" t="e">
        <f ca="1">IF(COUNTIF(PC.TU105.Inp!$C79:$L79,"")=10,"","("&amp;_xlfn.TEXTJOIN(",",FALSE,$C79:$O79)&amp;"),")</f>
        <v>#NAME?</v>
      </c>
    </row>
    <row r="80" spans="1:16" x14ac:dyDescent="0.3">
      <c r="A80" s="1" t="s">
        <v>172</v>
      </c>
      <c r="B80" s="1">
        <f t="shared" si="1"/>
        <v>79</v>
      </c>
      <c r="C80" s="6" t="str">
        <f>IF(COUNTIF(PC.TU105.Inp!$C80:$L80,"")=10,"","NULL")</f>
        <v>NULL</v>
      </c>
      <c r="D80" s="6" t="str">
        <f>IF(COUNTIF(PC.TU105.Inp!$C80:$L80,"")=10,"","NULL")</f>
        <v>NULL</v>
      </c>
      <c r="E80" s="6">
        <f>IF(COUNTIF(PC.TU105.Inp!$C80:$L80,"")=10,"",$B80)</f>
        <v>79</v>
      </c>
      <c r="F80" s="6">
        <f>IF(COUNTIF(PC.TU105.Inp!$C80:$L80,"")=10,"",IF(PC.TU105.Inp!$C80="","NULL",PC.TU105.Inp!$C80))</f>
        <v>1368</v>
      </c>
      <c r="G80" s="6">
        <f>IF(COUNTIF(PC.TU105.Inp!$C80:$L80,"")=10,"",IF(PC.TU105.Inp!$D80="","NULL",PC.TU105.Inp!$D80))</f>
        <v>396</v>
      </c>
      <c r="H80" s="6">
        <f>IF(COUNTIF(PC.TU105.Inp!$C80:$L80,"")=10,"",IF(PC.TU105.Inp!$E80="","NULL",PC.TU105.Inp!$E80))</f>
        <v>144</v>
      </c>
      <c r="I80" s="6">
        <f>IF(COUNTIF(PC.TU105.Inp!$C80:$L80,"")=10,"",IF(PC.TU105.Inp!$F80="","NULL",PC.TU105.Inp!$F80))</f>
        <v>72</v>
      </c>
      <c r="J80" s="6" t="str">
        <f>IF(COUNTIF(PC.TU105.Inp!$C80:$L80,"")=10,"",IF(PC.TU105.Inp!$G80="","NULL",""""&amp;PC.TU105.Inp!$G80&amp;""""))</f>
        <v>"0"</v>
      </c>
      <c r="K80" s="6" t="str">
        <f>IF(COUNTIF(PC.TU105.Inp!$C80:$L80,"")=10,"",IF(PC.TU105.Inp!$H80="","NULL",""""&amp;PC.TU105.Inp!$H80&amp;""""))</f>
        <v>"Insert"</v>
      </c>
      <c r="L80" s="6" t="str">
        <f>IF(COUNTIF(PC.TU105.Inp!$C80:$L80,"")=10,"",IF(PC.TU105.Inp!$I80="","NULL",""""&amp;PC.TU105.Inp!$I80&amp;""""))</f>
        <v>NULL</v>
      </c>
      <c r="M80" s="6" t="str">
        <f>IF(COUNTIF(PC.TU105.Inp!$C80:$L80,"")=10,"",IF(PC.TU105.Inp!$J80="","NULL",""""&amp;PC.TU105.Inp!$J80&amp;""""))</f>
        <v>NULL</v>
      </c>
      <c r="N80" s="6">
        <f>IF(COUNTIF(PC.TU105.Inp!$C80:$L80,"")=10,"",IF(PC.TU105.Inp!$K80="","NULL",PC.TU105.Inp!$K80))</f>
        <v>0</v>
      </c>
      <c r="O80" s="6">
        <f>IF(COUNTIF(PC.TU105.Inp!$C80:$L80,"")=10,"",IF(PC.TU105.Inp!$L80="","NULL",PC.TU105.Inp!$L80))</f>
        <v>1</v>
      </c>
      <c r="P80" s="7" t="e">
        <f ca="1">IF(COUNTIF(PC.TU105.Inp!$C80:$L80,"")=10,"","("&amp;_xlfn.TEXTJOIN(",",FALSE,$C80:$O80)&amp;"),")</f>
        <v>#NAME?</v>
      </c>
    </row>
    <row r="81" spans="1:16" x14ac:dyDescent="0.3">
      <c r="A81" s="1" t="s">
        <v>62</v>
      </c>
      <c r="B81" s="1">
        <f t="shared" si="1"/>
        <v>80</v>
      </c>
      <c r="C81" s="6" t="str">
        <f>IF(COUNTIF(PC.TU105.Inp!$C81:$L81,"")=10,"","NULL")</f>
        <v>NULL</v>
      </c>
      <c r="D81" s="6" t="str">
        <f>IF(COUNTIF(PC.TU105.Inp!$C81:$L81,"")=10,"","NULL")</f>
        <v>NULL</v>
      </c>
      <c r="E81" s="6">
        <f>IF(COUNTIF(PC.TU105.Inp!$C81:$L81,"")=10,"",$B81)</f>
        <v>80</v>
      </c>
      <c r="F81" s="6">
        <f>IF(COUNTIF(PC.TU105.Inp!$C81:$L81,"")=10,"",IF(PC.TU105.Inp!$C81="","NULL",PC.TU105.Inp!$C81))</f>
        <v>1512</v>
      </c>
      <c r="G81" s="6">
        <f>IF(COUNTIF(PC.TU105.Inp!$C81:$L81,"")=10,"",IF(PC.TU105.Inp!$D81="","NULL",PC.TU105.Inp!$D81))</f>
        <v>108</v>
      </c>
      <c r="H81" s="6">
        <f>IF(COUNTIF(PC.TU105.Inp!$C81:$L81,"")=10,"",IF(PC.TU105.Inp!$E81="","NULL",PC.TU105.Inp!$E81))</f>
        <v>72</v>
      </c>
      <c r="I81" s="6">
        <f>IF(COUNTIF(PC.TU105.Inp!$C81:$L81,"")=10,"",IF(PC.TU105.Inp!$F81="","NULL",PC.TU105.Inp!$F81))</f>
        <v>72</v>
      </c>
      <c r="J81" s="6" t="str">
        <f>IF(COUNTIF(PC.TU105.Inp!$C81:$L81,"")=10,"",IF(PC.TU105.Inp!$G81="","NULL",""""&amp;PC.TU105.Inp!$G81&amp;""""))</f>
        <v>NULL</v>
      </c>
      <c r="K81" s="6" t="str">
        <f>IF(COUNTIF(PC.TU105.Inp!$C81:$L81,"")=10,"",IF(PC.TU105.Inp!$H81="","NULL",""""&amp;PC.TU105.Inp!$H81&amp;""""))</f>
        <v>"*"</v>
      </c>
      <c r="L81" s="6" t="str">
        <f>IF(COUNTIF(PC.TU105.Inp!$C81:$L81,"")=10,"",IF(PC.TU105.Inp!$I81="","NULL",""""&amp;PC.TU105.Inp!$I81&amp;""""))</f>
        <v>NULL</v>
      </c>
      <c r="M81" s="6" t="str">
        <f>IF(COUNTIF(PC.TU105.Inp!$C81:$L81,"")=10,"",IF(PC.TU105.Inp!$J81="","NULL",""""&amp;PC.TU105.Inp!$J81&amp;""""))</f>
        <v>NULL</v>
      </c>
      <c r="N81" s="6">
        <f>IF(COUNTIF(PC.TU105.Inp!$C81:$L81,"")=10,"",IF(PC.TU105.Inp!$K81="","NULL",PC.TU105.Inp!$K81))</f>
        <v>0</v>
      </c>
      <c r="O81" s="6">
        <f>IF(COUNTIF(PC.TU105.Inp!$C81:$L81,"")=10,"",IF(PC.TU105.Inp!$L81="","NULL",PC.TU105.Inp!$L81))</f>
        <v>1</v>
      </c>
      <c r="P81" s="7" t="e">
        <f ca="1">IF(COUNTIF(PC.TU105.Inp!$C81:$L81,"")=10,"","("&amp;_xlfn.TEXTJOIN(",",FALSE,$C81:$O81)&amp;"),")</f>
        <v>#NAME?</v>
      </c>
    </row>
    <row r="82" spans="1:16" x14ac:dyDescent="0.3">
      <c r="A82" s="1" t="s">
        <v>178</v>
      </c>
      <c r="B82" s="1">
        <f t="shared" si="1"/>
        <v>81</v>
      </c>
      <c r="C82" s="6" t="str">
        <f>IF(COUNTIF(PC.TU105.Inp!$C82:$L82,"")=10,"","NULL")</f>
        <v>NULL</v>
      </c>
      <c r="D82" s="6" t="str">
        <f>IF(COUNTIF(PC.TU105.Inp!$C82:$L82,"")=10,"","NULL")</f>
        <v>NULL</v>
      </c>
      <c r="E82" s="6">
        <f>IF(COUNTIF(PC.TU105.Inp!$C82:$L82,"")=10,"",$B82)</f>
        <v>81</v>
      </c>
      <c r="F82" s="6">
        <f>IF(COUNTIF(PC.TU105.Inp!$C82:$L82,"")=10,"",IF(PC.TU105.Inp!$C82="","NULL",PC.TU105.Inp!$C82))</f>
        <v>1512</v>
      </c>
      <c r="G82" s="6">
        <f>IF(COUNTIF(PC.TU105.Inp!$C82:$L82,"")=10,"",IF(PC.TU105.Inp!$D82="","NULL",PC.TU105.Inp!$D82))</f>
        <v>180</v>
      </c>
      <c r="H82" s="6">
        <f>IF(COUNTIF(PC.TU105.Inp!$C82:$L82,"")=10,"",IF(PC.TU105.Inp!$E82="","NULL",PC.TU105.Inp!$E82))</f>
        <v>72</v>
      </c>
      <c r="I82" s="6">
        <f>IF(COUNTIF(PC.TU105.Inp!$C82:$L82,"")=10,"",IF(PC.TU105.Inp!$F82="","NULL",PC.TU105.Inp!$F82))</f>
        <v>72</v>
      </c>
      <c r="J82" s="6" t="str">
        <f>IF(COUNTIF(PC.TU105.Inp!$C82:$L82,"")=10,"",IF(PC.TU105.Inp!$G82="","NULL",""""&amp;PC.TU105.Inp!$G82&amp;""""))</f>
        <v>"9"</v>
      </c>
      <c r="K82" s="6" t="str">
        <f>IF(COUNTIF(PC.TU105.Inp!$C82:$L82,"")=10,"",IF(PC.TU105.Inp!$H82="","NULL",""""&amp;PC.TU105.Inp!$H82&amp;""""))</f>
        <v>"Page Up"</v>
      </c>
      <c r="L82" s="6" t="str">
        <f>IF(COUNTIF(PC.TU105.Inp!$C82:$L82,"")=10,"",IF(PC.TU105.Inp!$I82="","NULL",""""&amp;PC.TU105.Inp!$I82&amp;""""))</f>
        <v>NULL</v>
      </c>
      <c r="M82" s="6" t="str">
        <f>IF(COUNTIF(PC.TU105.Inp!$C82:$L82,"")=10,"",IF(PC.TU105.Inp!$J82="","NULL",""""&amp;PC.TU105.Inp!$J82&amp;""""))</f>
        <v>NULL</v>
      </c>
      <c r="N82" s="6">
        <f>IF(COUNTIF(PC.TU105.Inp!$C82:$L82,"")=10,"",IF(PC.TU105.Inp!$K82="","NULL",PC.TU105.Inp!$K82))</f>
        <v>0</v>
      </c>
      <c r="O82" s="6">
        <f>IF(COUNTIF(PC.TU105.Inp!$C82:$L82,"")=10,"",IF(PC.TU105.Inp!$L82="","NULL",PC.TU105.Inp!$L82))</f>
        <v>1</v>
      </c>
      <c r="P82" s="7" t="e">
        <f ca="1">IF(COUNTIF(PC.TU105.Inp!$C82:$L82,"")=10,"","("&amp;_xlfn.TEXTJOIN(",",FALSE,$C82:$O82)&amp;"),")</f>
        <v>#NAME?</v>
      </c>
    </row>
    <row r="83" spans="1:16" x14ac:dyDescent="0.3">
      <c r="A83" s="1" t="s">
        <v>179</v>
      </c>
      <c r="B83" s="1">
        <f t="shared" si="1"/>
        <v>82</v>
      </c>
      <c r="C83" s="6" t="str">
        <f>IF(COUNTIF(PC.TU105.Inp!$C83:$L83,"")=10,"","NULL")</f>
        <v>NULL</v>
      </c>
      <c r="D83" s="6" t="str">
        <f>IF(COUNTIF(PC.TU105.Inp!$C83:$L83,"")=10,"","NULL")</f>
        <v>NULL</v>
      </c>
      <c r="E83" s="6">
        <f>IF(COUNTIF(PC.TU105.Inp!$C83:$L83,"")=10,"",$B83)</f>
        <v>82</v>
      </c>
      <c r="F83" s="6">
        <f>IF(COUNTIF(PC.TU105.Inp!$C83:$L83,"")=10,"",IF(PC.TU105.Inp!$C83="","NULL",PC.TU105.Inp!$C83))</f>
        <v>1512</v>
      </c>
      <c r="G83" s="6">
        <f>IF(COUNTIF(PC.TU105.Inp!$C83:$L83,"")=10,"",IF(PC.TU105.Inp!$D83="","NULL",PC.TU105.Inp!$D83))</f>
        <v>252</v>
      </c>
      <c r="H83" s="6">
        <f>IF(COUNTIF(PC.TU105.Inp!$C83:$L83,"")=10,"",IF(PC.TU105.Inp!$E83="","NULL",PC.TU105.Inp!$E83))</f>
        <v>72</v>
      </c>
      <c r="I83" s="6">
        <f>IF(COUNTIF(PC.TU105.Inp!$C83:$L83,"")=10,"",IF(PC.TU105.Inp!$F83="","NULL",PC.TU105.Inp!$F83))</f>
        <v>72</v>
      </c>
      <c r="J83" s="6" t="str">
        <f>IF(COUNTIF(PC.TU105.Inp!$C83:$L83,"")=10,"",IF(PC.TU105.Inp!$G83="","NULL",""""&amp;PC.TU105.Inp!$G83&amp;""""))</f>
        <v>"6"</v>
      </c>
      <c r="K83" s="6" t="str">
        <f>IF(COUNTIF(PC.TU105.Inp!$C83:$L83,"")=10,"",IF(PC.TU105.Inp!$H83="","NULL",""""&amp;PC.TU105.Inp!$H83&amp;""""))</f>
        <v>"Right"</v>
      </c>
      <c r="L83" s="6" t="str">
        <f>IF(COUNTIF(PC.TU105.Inp!$C83:$L83,"")=10,"",IF(PC.TU105.Inp!$I83="","NULL",""""&amp;PC.TU105.Inp!$I83&amp;""""))</f>
        <v>NULL</v>
      </c>
      <c r="M83" s="6" t="str">
        <f>IF(COUNTIF(PC.TU105.Inp!$C83:$L83,"")=10,"",IF(PC.TU105.Inp!$J83="","NULL",""""&amp;PC.TU105.Inp!$J83&amp;""""))</f>
        <v>NULL</v>
      </c>
      <c r="N83" s="6">
        <f>IF(COUNTIF(PC.TU105.Inp!$C83:$L83,"")=10,"",IF(PC.TU105.Inp!$K83="","NULL",PC.TU105.Inp!$K83))</f>
        <v>0</v>
      </c>
      <c r="O83" s="6">
        <f>IF(COUNTIF(PC.TU105.Inp!$C83:$L83,"")=10,"",IF(PC.TU105.Inp!$L83="","NULL",PC.TU105.Inp!$L83))</f>
        <v>1</v>
      </c>
      <c r="P83" s="7" t="e">
        <f ca="1">IF(COUNTIF(PC.TU105.Inp!$C83:$L83,"")=10,"","("&amp;_xlfn.TEXTJOIN(",",FALSE,$C83:$O83)&amp;"),")</f>
        <v>#NAME?</v>
      </c>
    </row>
    <row r="84" spans="1:16" x14ac:dyDescent="0.3">
      <c r="A84" s="1" t="s">
        <v>182</v>
      </c>
      <c r="B84" s="1">
        <f t="shared" si="1"/>
        <v>83</v>
      </c>
      <c r="C84" s="6" t="str">
        <f>IF(COUNTIF(PC.TU105.Inp!$C84:$L84,"")=10,"","NULL")</f>
        <v>NULL</v>
      </c>
      <c r="D84" s="6" t="str">
        <f>IF(COUNTIF(PC.TU105.Inp!$C84:$L84,"")=10,"","NULL")</f>
        <v>NULL</v>
      </c>
      <c r="E84" s="6">
        <f>IF(COUNTIF(PC.TU105.Inp!$C84:$L84,"")=10,"",$B84)</f>
        <v>83</v>
      </c>
      <c r="F84" s="6">
        <f>IF(COUNTIF(PC.TU105.Inp!$C84:$L84,"")=10,"",IF(PC.TU105.Inp!$C84="","NULL",PC.TU105.Inp!$C84))</f>
        <v>1512</v>
      </c>
      <c r="G84" s="6">
        <f>IF(COUNTIF(PC.TU105.Inp!$C84:$L84,"")=10,"",IF(PC.TU105.Inp!$D84="","NULL",PC.TU105.Inp!$D84))</f>
        <v>324</v>
      </c>
      <c r="H84" s="6">
        <f>IF(COUNTIF(PC.TU105.Inp!$C84:$L84,"")=10,"",IF(PC.TU105.Inp!$E84="","NULL",PC.TU105.Inp!$E84))</f>
        <v>72</v>
      </c>
      <c r="I84" s="6">
        <f>IF(COUNTIF(PC.TU105.Inp!$C84:$L84,"")=10,"",IF(PC.TU105.Inp!$F84="","NULL",PC.TU105.Inp!$F84))</f>
        <v>72</v>
      </c>
      <c r="J84" s="6" t="str">
        <f>IF(COUNTIF(PC.TU105.Inp!$C84:$L84,"")=10,"",IF(PC.TU105.Inp!$G84="","NULL",""""&amp;PC.TU105.Inp!$G84&amp;""""))</f>
        <v>"3"</v>
      </c>
      <c r="K84" s="6" t="str">
        <f>IF(COUNTIF(PC.TU105.Inp!$C84:$L84,"")=10,"",IF(PC.TU105.Inp!$H84="","NULL",""""&amp;PC.TU105.Inp!$H84&amp;""""))</f>
        <v>"Page Dn"</v>
      </c>
      <c r="L84" s="6" t="str">
        <f>IF(COUNTIF(PC.TU105.Inp!$C84:$L84,"")=10,"",IF(PC.TU105.Inp!$I84="","NULL",""""&amp;PC.TU105.Inp!$I84&amp;""""))</f>
        <v>NULL</v>
      </c>
      <c r="M84" s="6" t="str">
        <f>IF(COUNTIF(PC.TU105.Inp!$C84:$L84,"")=10,"",IF(PC.TU105.Inp!$J84="","NULL",""""&amp;PC.TU105.Inp!$J84&amp;""""))</f>
        <v>NULL</v>
      </c>
      <c r="N84" s="6">
        <f>IF(COUNTIF(PC.TU105.Inp!$C84:$L84,"")=10,"",IF(PC.TU105.Inp!$K84="","NULL",PC.TU105.Inp!$K84))</f>
        <v>0</v>
      </c>
      <c r="O84" s="6">
        <f>IF(COUNTIF(PC.TU105.Inp!$C84:$L84,"")=10,"",IF(PC.TU105.Inp!$L84="","NULL",PC.TU105.Inp!$L84))</f>
        <v>1</v>
      </c>
      <c r="P84" s="7" t="e">
        <f ca="1">IF(COUNTIF(PC.TU105.Inp!$C84:$L84,"")=10,"","("&amp;_xlfn.TEXTJOIN(",",FALSE,$C84:$O84)&amp;"),")</f>
        <v>#NAME?</v>
      </c>
    </row>
    <row r="85" spans="1:16" x14ac:dyDescent="0.3">
      <c r="A85" s="1" t="s">
        <v>173</v>
      </c>
      <c r="B85" s="1">
        <f t="shared" si="1"/>
        <v>84</v>
      </c>
      <c r="C85" s="6" t="str">
        <f>IF(COUNTIF(PC.TU105.Inp!$C85:$L85,"")=10,"","NULL")</f>
        <v>NULL</v>
      </c>
      <c r="D85" s="6" t="str">
        <f>IF(COUNTIF(PC.TU105.Inp!$C85:$L85,"")=10,"","NULL")</f>
        <v>NULL</v>
      </c>
      <c r="E85" s="6">
        <f>IF(COUNTIF(PC.TU105.Inp!$C85:$L85,"")=10,"",$B85)</f>
        <v>84</v>
      </c>
      <c r="F85" s="6">
        <f>IF(COUNTIF(PC.TU105.Inp!$C85:$L85,"")=10,"",IF(PC.TU105.Inp!$C85="","NULL",PC.TU105.Inp!$C85))</f>
        <v>1512</v>
      </c>
      <c r="G85" s="6">
        <f>IF(COUNTIF(PC.TU105.Inp!$C85:$L85,"")=10,"",IF(PC.TU105.Inp!$D85="","NULL",PC.TU105.Inp!$D85))</f>
        <v>396</v>
      </c>
      <c r="H85" s="6">
        <f>IF(COUNTIF(PC.TU105.Inp!$C85:$L85,"")=10,"",IF(PC.TU105.Inp!$E85="","NULL",PC.TU105.Inp!$E85))</f>
        <v>72</v>
      </c>
      <c r="I85" s="6">
        <f>IF(COUNTIF(PC.TU105.Inp!$C85:$L85,"")=10,"",IF(PC.TU105.Inp!$F85="","NULL",PC.TU105.Inp!$F85))</f>
        <v>72</v>
      </c>
      <c r="J85" s="6" t="str">
        <f>IF(COUNTIF(PC.TU105.Inp!$C85:$L85,"")=10,"",IF(PC.TU105.Inp!$G85="","NULL",""""&amp;PC.TU105.Inp!$G85&amp;""""))</f>
        <v>","</v>
      </c>
      <c r="K85" s="6" t="str">
        <f>IF(COUNTIF(PC.TU105.Inp!$C85:$L85,"")=10,"",IF(PC.TU105.Inp!$H85="","NULL",""""&amp;PC.TU105.Inp!$H85&amp;""""))</f>
        <v>"Delete"</v>
      </c>
      <c r="L85" s="6" t="str">
        <f>IF(COUNTIF(PC.TU105.Inp!$C85:$L85,"")=10,"",IF(PC.TU105.Inp!$I85="","NULL",""""&amp;PC.TU105.Inp!$I85&amp;""""))</f>
        <v>NULL</v>
      </c>
      <c r="M85" s="6" t="str">
        <f>IF(COUNTIF(PC.TU105.Inp!$C85:$L85,"")=10,"",IF(PC.TU105.Inp!$J85="","NULL",""""&amp;PC.TU105.Inp!$J85&amp;""""))</f>
        <v>NULL</v>
      </c>
      <c r="N85" s="6">
        <f>IF(COUNTIF(PC.TU105.Inp!$C85:$L85,"")=10,"",IF(PC.TU105.Inp!$K85="","NULL",PC.TU105.Inp!$K85))</f>
        <v>0</v>
      </c>
      <c r="O85" s="6">
        <f>IF(COUNTIF(PC.TU105.Inp!$C85:$L85,"")=10,"",IF(PC.TU105.Inp!$L85="","NULL",PC.TU105.Inp!$L85))</f>
        <v>1</v>
      </c>
      <c r="P85" s="7" t="e">
        <f ca="1">IF(COUNTIF(PC.TU105.Inp!$C85:$L85,"")=10,"","("&amp;_xlfn.TEXTJOIN(",",FALSE,$C85:$O85)&amp;"),")</f>
        <v>#NAME?</v>
      </c>
    </row>
    <row r="86" spans="1:16" x14ac:dyDescent="0.3">
      <c r="A86" s="1" t="s">
        <v>114</v>
      </c>
      <c r="B86" s="1">
        <f t="shared" si="1"/>
        <v>85</v>
      </c>
      <c r="C86" s="6" t="str">
        <f>IF(COUNTIF(PC.TU105.Inp!$C86:$L86,"")=10,"","NULL")</f>
        <v>NULL</v>
      </c>
      <c r="D86" s="6" t="str">
        <f>IF(COUNTIF(PC.TU105.Inp!$C86:$L86,"")=10,"","NULL")</f>
        <v>NULL</v>
      </c>
      <c r="E86" s="6">
        <f>IF(COUNTIF(PC.TU105.Inp!$C86:$L86,"")=10,"",$B86)</f>
        <v>85</v>
      </c>
      <c r="F86" s="6">
        <f>IF(COUNTIF(PC.TU105.Inp!$C86:$L86,"")=10,"",IF(PC.TU105.Inp!$C86="","NULL",PC.TU105.Inp!$C86))</f>
        <v>1584</v>
      </c>
      <c r="G86" s="6">
        <f>IF(COUNTIF(PC.TU105.Inp!$C86:$L86,"")=10,"",IF(PC.TU105.Inp!$D86="","NULL",PC.TU105.Inp!$D86))</f>
        <v>108</v>
      </c>
      <c r="H86" s="6">
        <f>IF(COUNTIF(PC.TU105.Inp!$C86:$L86,"")=10,"",IF(PC.TU105.Inp!$E86="","NULL",PC.TU105.Inp!$E86))</f>
        <v>72</v>
      </c>
      <c r="I86" s="6">
        <f>IF(COUNTIF(PC.TU105.Inp!$C86:$L86,"")=10,"",IF(PC.TU105.Inp!$F86="","NULL",PC.TU105.Inp!$F86))</f>
        <v>72</v>
      </c>
      <c r="J86" s="6" t="str">
        <f>IF(COUNTIF(PC.TU105.Inp!$C86:$L86,"")=10,"",IF(PC.TU105.Inp!$G86="","NULL",""""&amp;PC.TU105.Inp!$G86&amp;""""))</f>
        <v>NULL</v>
      </c>
      <c r="K86" s="6" t="str">
        <f>IF(COUNTIF(PC.TU105.Inp!$C86:$L86,"")=10,"",IF(PC.TU105.Inp!$H86="","NULL",""""&amp;PC.TU105.Inp!$H86&amp;""""))</f>
        <v>"-"</v>
      </c>
      <c r="L86" s="6" t="str">
        <f>IF(COUNTIF(PC.TU105.Inp!$C86:$L86,"")=10,"",IF(PC.TU105.Inp!$I86="","NULL",""""&amp;PC.TU105.Inp!$I86&amp;""""))</f>
        <v>NULL</v>
      </c>
      <c r="M86" s="6" t="str">
        <f>IF(COUNTIF(PC.TU105.Inp!$C86:$L86,"")=10,"",IF(PC.TU105.Inp!$J86="","NULL",""""&amp;PC.TU105.Inp!$J86&amp;""""))</f>
        <v>NULL</v>
      </c>
      <c r="N86" s="6">
        <f>IF(COUNTIF(PC.TU105.Inp!$C86:$L86,"")=10,"",IF(PC.TU105.Inp!$K86="","NULL",PC.TU105.Inp!$K86))</f>
        <v>0</v>
      </c>
      <c r="O86" s="6">
        <f>IF(COUNTIF(PC.TU105.Inp!$C86:$L86,"")=10,"",IF(PC.TU105.Inp!$L86="","NULL",PC.TU105.Inp!$L86))</f>
        <v>1</v>
      </c>
      <c r="P86" s="7" t="e">
        <f ca="1">IF(COUNTIF(PC.TU105.Inp!$C86:$L86,"")=10,"","("&amp;_xlfn.TEXTJOIN(",",FALSE,$C86:$O86)&amp;"),")</f>
        <v>#NAME?</v>
      </c>
    </row>
    <row r="87" spans="1:16" x14ac:dyDescent="0.3">
      <c r="A87" s="1" t="s">
        <v>63</v>
      </c>
      <c r="B87" s="1">
        <f t="shared" si="1"/>
        <v>86</v>
      </c>
      <c r="C87" s="6" t="str">
        <f>IF(COUNTIF(PC.TU105.Inp!$C87:$L87,"")=10,"","NULL")</f>
        <v>NULL</v>
      </c>
      <c r="D87" s="6" t="str">
        <f>IF(COUNTIF(PC.TU105.Inp!$C87:$L87,"")=10,"","NULL")</f>
        <v>NULL</v>
      </c>
      <c r="E87" s="6">
        <f>IF(COUNTIF(PC.TU105.Inp!$C87:$L87,"")=10,"",$B87)</f>
        <v>86</v>
      </c>
      <c r="F87" s="6">
        <f>IF(COUNTIF(PC.TU105.Inp!$C87:$L87,"")=10,"",IF(PC.TU105.Inp!$C87="","NULL",PC.TU105.Inp!$C87))</f>
        <v>1584</v>
      </c>
      <c r="G87" s="6">
        <f>IF(COUNTIF(PC.TU105.Inp!$C87:$L87,"")=10,"",IF(PC.TU105.Inp!$D87="","NULL",PC.TU105.Inp!$D87))</f>
        <v>180</v>
      </c>
      <c r="H87" s="6">
        <f>IF(COUNTIF(PC.TU105.Inp!$C87:$L87,"")=10,"",IF(PC.TU105.Inp!$E87="","NULL",PC.TU105.Inp!$E87))</f>
        <v>72</v>
      </c>
      <c r="I87" s="6">
        <f>IF(COUNTIF(PC.TU105.Inp!$C87:$L87,"")=10,"",IF(PC.TU105.Inp!$F87="","NULL",PC.TU105.Inp!$F87))</f>
        <v>144</v>
      </c>
      <c r="J87" s="6" t="str">
        <f>IF(COUNTIF(PC.TU105.Inp!$C87:$L87,"")=10,"",IF(PC.TU105.Inp!$G87="","NULL",""""&amp;PC.TU105.Inp!$G87&amp;""""))</f>
        <v>NULL</v>
      </c>
      <c r="K87" s="6" t="str">
        <f>IF(COUNTIF(PC.TU105.Inp!$C87:$L87,"")=10,"",IF(PC.TU105.Inp!$H87="","NULL",""""&amp;PC.TU105.Inp!$H87&amp;""""))</f>
        <v>"+"</v>
      </c>
      <c r="L87" s="6" t="str">
        <f>IF(COUNTIF(PC.TU105.Inp!$C87:$L87,"")=10,"",IF(PC.TU105.Inp!$I87="","NULL",""""&amp;PC.TU105.Inp!$I87&amp;""""))</f>
        <v>NULL</v>
      </c>
      <c r="M87" s="6" t="str">
        <f>IF(COUNTIF(PC.TU105.Inp!$C87:$L87,"")=10,"",IF(PC.TU105.Inp!$J87="","NULL",""""&amp;PC.TU105.Inp!$J87&amp;""""))</f>
        <v>NULL</v>
      </c>
      <c r="N87" s="6">
        <f>IF(COUNTIF(PC.TU105.Inp!$C87:$L87,"")=10,"",IF(PC.TU105.Inp!$K87="","NULL",PC.TU105.Inp!$K87))</f>
        <v>0</v>
      </c>
      <c r="O87" s="6">
        <f>IF(COUNTIF(PC.TU105.Inp!$C87:$L87,"")=10,"",IF(PC.TU105.Inp!$L87="","NULL",PC.TU105.Inp!$L87))</f>
        <v>1</v>
      </c>
      <c r="P87" s="7" t="e">
        <f ca="1">IF(COUNTIF(PC.TU105.Inp!$C87:$L87,"")=10,"","("&amp;_xlfn.TEXTJOIN(",",FALSE,$C87:$O87)&amp;"),")</f>
        <v>#NAME?</v>
      </c>
    </row>
    <row r="88" spans="1:16" x14ac:dyDescent="0.3">
      <c r="A88" s="1" t="s">
        <v>167</v>
      </c>
      <c r="B88" s="1">
        <f t="shared" si="1"/>
        <v>87</v>
      </c>
      <c r="C88" s="6" t="str">
        <f>IF(COUNTIF(PC.TU105.Inp!$C88:$L88,"")=10,"","NULL")</f>
        <v>NULL</v>
      </c>
      <c r="D88" s="6" t="str">
        <f>IF(COUNTIF(PC.TU105.Inp!$C88:$L88,"")=10,"","NULL")</f>
        <v>NULL</v>
      </c>
      <c r="E88" s="6">
        <f>IF(COUNTIF(PC.TU105.Inp!$C88:$L88,"")=10,"",$B88)</f>
        <v>87</v>
      </c>
      <c r="F88" s="6">
        <f>IF(COUNTIF(PC.TU105.Inp!$C88:$L88,"")=10,"",IF(PC.TU105.Inp!$C88="","NULL",PC.TU105.Inp!$C88))</f>
        <v>1584</v>
      </c>
      <c r="G88" s="6">
        <f>IF(COUNTIF(PC.TU105.Inp!$C88:$L88,"")=10,"",IF(PC.TU105.Inp!$D88="","NULL",PC.TU105.Inp!$D88))</f>
        <v>324</v>
      </c>
      <c r="H88" s="6">
        <f>IF(COUNTIF(PC.TU105.Inp!$C88:$L88,"")=10,"",IF(PC.TU105.Inp!$E88="","NULL",PC.TU105.Inp!$E88))</f>
        <v>72</v>
      </c>
      <c r="I88" s="6">
        <f>IF(COUNTIF(PC.TU105.Inp!$C88:$L88,"")=10,"",IF(PC.TU105.Inp!$F88="","NULL",PC.TU105.Inp!$F88))</f>
        <v>144</v>
      </c>
      <c r="J88" s="6" t="str">
        <f>IF(COUNTIF(PC.TU105.Inp!$C88:$L88,"")=10,"",IF(PC.TU105.Inp!$G88="","NULL",""""&amp;PC.TU105.Inp!$G88&amp;""""))</f>
        <v>NULL</v>
      </c>
      <c r="K88" s="6" t="str">
        <f>IF(COUNTIF(PC.TU105.Inp!$C88:$L88,"")=10,"",IF(PC.TU105.Inp!$H88="","NULL",""""&amp;PC.TU105.Inp!$H88&amp;""""))</f>
        <v>"Enter"</v>
      </c>
      <c r="L88" s="6" t="str">
        <f>IF(COUNTIF(PC.TU105.Inp!$C88:$L88,"")=10,"",IF(PC.TU105.Inp!$I88="","NULL",""""&amp;PC.TU105.Inp!$I88&amp;""""))</f>
        <v>NULL</v>
      </c>
      <c r="M88" s="6" t="str">
        <f>IF(COUNTIF(PC.TU105.Inp!$C88:$L88,"")=10,"",IF(PC.TU105.Inp!$J88="","NULL",""""&amp;PC.TU105.Inp!$J88&amp;""""))</f>
        <v>NULL</v>
      </c>
      <c r="N88" s="6">
        <f>IF(COUNTIF(PC.TU105.Inp!$C88:$L88,"")=10,"",IF(PC.TU105.Inp!$K88="","NULL",PC.TU105.Inp!$K88))</f>
        <v>0</v>
      </c>
      <c r="O88" s="6">
        <f>IF(COUNTIF(PC.TU105.Inp!$C88:$L88,"")=10,"",IF(PC.TU105.Inp!$L88="","NULL",PC.TU105.Inp!$L88))</f>
        <v>1</v>
      </c>
      <c r="P88" s="7" t="e">
        <f ca="1">IF(COUNTIF(PC.TU105.Inp!$C88:$L88,"")=10,"","("&amp;_xlfn.TEXTJOIN(",",FALSE,$C88:$O88)&amp;"),")</f>
        <v>#NAME?</v>
      </c>
    </row>
    <row r="89" spans="1:16" x14ac:dyDescent="0.3">
      <c r="A89" s="1" t="s">
        <v>134</v>
      </c>
      <c r="B89" s="1">
        <f t="shared" si="1"/>
        <v>88</v>
      </c>
      <c r="C89" s="6" t="str">
        <f>IF(COUNTIF(PC.TU105.Inp!$C89:$L89,"")=10,"","NULL")</f>
        <v>NULL</v>
      </c>
      <c r="D89" s="6" t="str">
        <f>IF(COUNTIF(PC.TU105.Inp!$C89:$L89,"")=10,"","NULL")</f>
        <v>NULL</v>
      </c>
      <c r="E89" s="6">
        <f>IF(COUNTIF(PC.TU105.Inp!$C89:$L89,"")=10,"",$B89)</f>
        <v>88</v>
      </c>
      <c r="F89" s="6">
        <f>IF(COUNTIF(PC.TU105.Inp!$C89:$L89,"")=10,"",IF(PC.TU105.Inp!$C89="","NULL",PC.TU105.Inp!$C89))</f>
        <v>0</v>
      </c>
      <c r="G89" s="6">
        <f>IF(COUNTIF(PC.TU105.Inp!$C89:$L89,"")=10,"",IF(PC.TU105.Inp!$D89="","NULL",PC.TU105.Inp!$D89))</f>
        <v>0</v>
      </c>
      <c r="H89" s="6">
        <f>IF(COUNTIF(PC.TU105.Inp!$C89:$L89,"")=10,"",IF(PC.TU105.Inp!$E89="","NULL",PC.TU105.Inp!$E89))</f>
        <v>72</v>
      </c>
      <c r="I89" s="6">
        <f>IF(COUNTIF(PC.TU105.Inp!$C89:$L89,"")=10,"",IF(PC.TU105.Inp!$F89="","NULL",PC.TU105.Inp!$F89))</f>
        <v>72</v>
      </c>
      <c r="J89" s="6" t="str">
        <f>IF(COUNTIF(PC.TU105.Inp!$C89:$L89,"")=10,"",IF(PC.TU105.Inp!$G89="","NULL",""""&amp;PC.TU105.Inp!$G89&amp;""""))</f>
        <v>NULL</v>
      </c>
      <c r="K89" s="6" t="str">
        <f>IF(COUNTIF(PC.TU105.Inp!$C89:$L89,"")=10,"",IF(PC.TU105.Inp!$H89="","NULL",""""&amp;PC.TU105.Inp!$H89&amp;""""))</f>
        <v>"Esc"</v>
      </c>
      <c r="L89" s="6" t="str">
        <f>IF(COUNTIF(PC.TU105.Inp!$C89:$L89,"")=10,"",IF(PC.TU105.Inp!$I89="","NULL",""""&amp;PC.TU105.Inp!$I89&amp;""""))</f>
        <v>NULL</v>
      </c>
      <c r="M89" s="6" t="str">
        <f>IF(COUNTIF(PC.TU105.Inp!$C89:$L89,"")=10,"",IF(PC.TU105.Inp!$J89="","NULL",""""&amp;PC.TU105.Inp!$J89&amp;""""))</f>
        <v>NULL</v>
      </c>
      <c r="N89" s="6">
        <f>IF(COUNTIF(PC.TU105.Inp!$C89:$L89,"")=10,"",IF(PC.TU105.Inp!$K89="","NULL",PC.TU105.Inp!$K89))</f>
        <v>0</v>
      </c>
      <c r="O89" s="6">
        <f>IF(COUNTIF(PC.TU105.Inp!$C89:$L89,"")=10,"",IF(PC.TU105.Inp!$L89="","NULL",PC.TU105.Inp!$L89))</f>
        <v>0</v>
      </c>
      <c r="P89" s="7" t="e">
        <f ca="1">IF(COUNTIF(PC.TU105.Inp!$C89:$L89,"")=10,"","("&amp;_xlfn.TEXTJOIN(",",FALSE,$C89:$O89)&amp;"),")</f>
        <v>#NAME?</v>
      </c>
    </row>
    <row r="90" spans="1:16" x14ac:dyDescent="0.3">
      <c r="A90" s="1" t="s">
        <v>135</v>
      </c>
      <c r="B90" s="1">
        <f t="shared" si="1"/>
        <v>89</v>
      </c>
      <c r="C90" s="6" t="str">
        <f>IF(COUNTIF(PC.TU105.Inp!$C90:$L90,"")=10,"","NULL")</f>
        <v>NULL</v>
      </c>
      <c r="D90" s="6" t="str">
        <f>IF(COUNTIF(PC.TU105.Inp!$C90:$L90,"")=10,"","NULL")</f>
        <v>NULL</v>
      </c>
      <c r="E90" s="6">
        <f>IF(COUNTIF(PC.TU105.Inp!$C90:$L90,"")=10,"",$B90)</f>
        <v>89</v>
      </c>
      <c r="F90" s="6">
        <f>IF(COUNTIF(PC.TU105.Inp!$C90:$L90,"")=10,"",IF(PC.TU105.Inp!$C90="","NULL",PC.TU105.Inp!$C90))</f>
        <v>144</v>
      </c>
      <c r="G90" s="6">
        <f>IF(COUNTIF(PC.TU105.Inp!$C90:$L90,"")=10,"",IF(PC.TU105.Inp!$D90="","NULL",PC.TU105.Inp!$D90))</f>
        <v>0</v>
      </c>
      <c r="H90" s="6">
        <f>IF(COUNTIF(PC.TU105.Inp!$C90:$L90,"")=10,"",IF(PC.TU105.Inp!$E90="","NULL",PC.TU105.Inp!$E90))</f>
        <v>72</v>
      </c>
      <c r="I90" s="6">
        <f>IF(COUNTIF(PC.TU105.Inp!$C90:$L90,"")=10,"",IF(PC.TU105.Inp!$F90="","NULL",PC.TU105.Inp!$F90))</f>
        <v>72</v>
      </c>
      <c r="J90" s="6" t="str">
        <f>IF(COUNTIF(PC.TU105.Inp!$C90:$L90,"")=10,"",IF(PC.TU105.Inp!$G90="","NULL",""""&amp;PC.TU105.Inp!$G90&amp;""""))</f>
        <v>NULL</v>
      </c>
      <c r="K90" s="6" t="str">
        <f>IF(COUNTIF(PC.TU105.Inp!$C90:$L90,"")=10,"",IF(PC.TU105.Inp!$H90="","NULL",""""&amp;PC.TU105.Inp!$H90&amp;""""))</f>
        <v>"F1"</v>
      </c>
      <c r="L90" s="6" t="str">
        <f>IF(COUNTIF(PC.TU105.Inp!$C90:$L90,"")=10,"",IF(PC.TU105.Inp!$I90="","NULL",""""&amp;PC.TU105.Inp!$I90&amp;""""))</f>
        <v>NULL</v>
      </c>
      <c r="M90" s="6" t="str">
        <f>IF(COUNTIF(PC.TU105.Inp!$C90:$L90,"")=10,"",IF(PC.TU105.Inp!$J90="","NULL",""""&amp;PC.TU105.Inp!$J90&amp;""""))</f>
        <v>NULL</v>
      </c>
      <c r="N90" s="6">
        <f>IF(COUNTIF(PC.TU105.Inp!$C90:$L90,"")=10,"",IF(PC.TU105.Inp!$K90="","NULL",PC.TU105.Inp!$K90))</f>
        <v>0</v>
      </c>
      <c r="O90" s="6">
        <f>IF(COUNTIF(PC.TU105.Inp!$C90:$L90,"")=10,"",IF(PC.TU105.Inp!$L90="","NULL",PC.TU105.Inp!$L90))</f>
        <v>0</v>
      </c>
      <c r="P90" s="7" t="e">
        <f ca="1">IF(COUNTIF(PC.TU105.Inp!$C90:$L90,"")=10,"","("&amp;_xlfn.TEXTJOIN(",",FALSE,$C90:$O90)&amp;"),")</f>
        <v>#NAME?</v>
      </c>
    </row>
    <row r="91" spans="1:16" x14ac:dyDescent="0.3">
      <c r="A91" s="1" t="s">
        <v>136</v>
      </c>
      <c r="B91" s="1">
        <f t="shared" si="1"/>
        <v>90</v>
      </c>
      <c r="C91" s="6" t="str">
        <f>IF(COUNTIF(PC.TU105.Inp!$C91:$L91,"")=10,"","NULL")</f>
        <v>NULL</v>
      </c>
      <c r="D91" s="6" t="str">
        <f>IF(COUNTIF(PC.TU105.Inp!$C91:$L91,"")=10,"","NULL")</f>
        <v>NULL</v>
      </c>
      <c r="E91" s="6">
        <f>IF(COUNTIF(PC.TU105.Inp!$C91:$L91,"")=10,"",$B91)</f>
        <v>90</v>
      </c>
      <c r="F91" s="6">
        <f>IF(COUNTIF(PC.TU105.Inp!$C91:$L91,"")=10,"",IF(PC.TU105.Inp!$C91="","NULL",PC.TU105.Inp!$C91))</f>
        <v>216</v>
      </c>
      <c r="G91" s="6">
        <f>IF(COUNTIF(PC.TU105.Inp!$C91:$L91,"")=10,"",IF(PC.TU105.Inp!$D91="","NULL",PC.TU105.Inp!$D91))</f>
        <v>0</v>
      </c>
      <c r="H91" s="6">
        <f>IF(COUNTIF(PC.TU105.Inp!$C91:$L91,"")=10,"",IF(PC.TU105.Inp!$E91="","NULL",PC.TU105.Inp!$E91))</f>
        <v>72</v>
      </c>
      <c r="I91" s="6">
        <f>IF(COUNTIF(PC.TU105.Inp!$C91:$L91,"")=10,"",IF(PC.TU105.Inp!$F91="","NULL",PC.TU105.Inp!$F91))</f>
        <v>72</v>
      </c>
      <c r="J91" s="6" t="str">
        <f>IF(COUNTIF(PC.TU105.Inp!$C91:$L91,"")=10,"",IF(PC.TU105.Inp!$G91="","NULL",""""&amp;PC.TU105.Inp!$G91&amp;""""))</f>
        <v>NULL</v>
      </c>
      <c r="K91" s="6" t="str">
        <f>IF(COUNTIF(PC.TU105.Inp!$C91:$L91,"")=10,"",IF(PC.TU105.Inp!$H91="","NULL",""""&amp;PC.TU105.Inp!$H91&amp;""""))</f>
        <v>"F2"</v>
      </c>
      <c r="L91" s="6" t="str">
        <f>IF(COUNTIF(PC.TU105.Inp!$C91:$L91,"")=10,"",IF(PC.TU105.Inp!$I91="","NULL",""""&amp;PC.TU105.Inp!$I91&amp;""""))</f>
        <v>NULL</v>
      </c>
      <c r="M91" s="6" t="str">
        <f>IF(COUNTIF(PC.TU105.Inp!$C91:$L91,"")=10,"",IF(PC.TU105.Inp!$J91="","NULL",""""&amp;PC.TU105.Inp!$J91&amp;""""))</f>
        <v>NULL</v>
      </c>
      <c r="N91" s="6">
        <f>IF(COUNTIF(PC.TU105.Inp!$C91:$L91,"")=10,"",IF(PC.TU105.Inp!$K91="","NULL",PC.TU105.Inp!$K91))</f>
        <v>0</v>
      </c>
      <c r="O91" s="6">
        <f>IF(COUNTIF(PC.TU105.Inp!$C91:$L91,"")=10,"",IF(PC.TU105.Inp!$L91="","NULL",PC.TU105.Inp!$L91))</f>
        <v>0</v>
      </c>
      <c r="P91" s="7" t="e">
        <f ca="1">IF(COUNTIF(PC.TU105.Inp!$C91:$L91,"")=10,"","("&amp;_xlfn.TEXTJOIN(",",FALSE,$C91:$O91)&amp;"),")</f>
        <v>#NAME?</v>
      </c>
    </row>
    <row r="92" spans="1:16" x14ac:dyDescent="0.3">
      <c r="A92" s="1" t="s">
        <v>137</v>
      </c>
      <c r="B92" s="1">
        <f t="shared" si="1"/>
        <v>91</v>
      </c>
      <c r="C92" s="6" t="str">
        <f>IF(COUNTIF(PC.TU105.Inp!$C92:$L92,"")=10,"","NULL")</f>
        <v>NULL</v>
      </c>
      <c r="D92" s="6" t="str">
        <f>IF(COUNTIF(PC.TU105.Inp!$C92:$L92,"")=10,"","NULL")</f>
        <v>NULL</v>
      </c>
      <c r="E92" s="6">
        <f>IF(COUNTIF(PC.TU105.Inp!$C92:$L92,"")=10,"",$B92)</f>
        <v>91</v>
      </c>
      <c r="F92" s="6">
        <f>IF(COUNTIF(PC.TU105.Inp!$C92:$L92,"")=10,"",IF(PC.TU105.Inp!$C92="","NULL",PC.TU105.Inp!$C92))</f>
        <v>288</v>
      </c>
      <c r="G92" s="6">
        <f>IF(COUNTIF(PC.TU105.Inp!$C92:$L92,"")=10,"",IF(PC.TU105.Inp!$D92="","NULL",PC.TU105.Inp!$D92))</f>
        <v>0</v>
      </c>
      <c r="H92" s="6">
        <f>IF(COUNTIF(PC.TU105.Inp!$C92:$L92,"")=10,"",IF(PC.TU105.Inp!$E92="","NULL",PC.TU105.Inp!$E92))</f>
        <v>72</v>
      </c>
      <c r="I92" s="6">
        <f>IF(COUNTIF(PC.TU105.Inp!$C92:$L92,"")=10,"",IF(PC.TU105.Inp!$F92="","NULL",PC.TU105.Inp!$F92))</f>
        <v>72</v>
      </c>
      <c r="J92" s="6" t="str">
        <f>IF(COUNTIF(PC.TU105.Inp!$C92:$L92,"")=10,"",IF(PC.TU105.Inp!$G92="","NULL",""""&amp;PC.TU105.Inp!$G92&amp;""""))</f>
        <v>NULL</v>
      </c>
      <c r="K92" s="6" t="str">
        <f>IF(COUNTIF(PC.TU105.Inp!$C92:$L92,"")=10,"",IF(PC.TU105.Inp!$H92="","NULL",""""&amp;PC.TU105.Inp!$H92&amp;""""))</f>
        <v>"F3"</v>
      </c>
      <c r="L92" s="6" t="str">
        <f>IF(COUNTIF(PC.TU105.Inp!$C92:$L92,"")=10,"",IF(PC.TU105.Inp!$I92="","NULL",""""&amp;PC.TU105.Inp!$I92&amp;""""))</f>
        <v>NULL</v>
      </c>
      <c r="M92" s="6" t="str">
        <f>IF(COUNTIF(PC.TU105.Inp!$C92:$L92,"")=10,"",IF(PC.TU105.Inp!$J92="","NULL",""""&amp;PC.TU105.Inp!$J92&amp;""""))</f>
        <v>NULL</v>
      </c>
      <c r="N92" s="6">
        <f>IF(COUNTIF(PC.TU105.Inp!$C92:$L92,"")=10,"",IF(PC.TU105.Inp!$K92="","NULL",PC.TU105.Inp!$K92))</f>
        <v>0</v>
      </c>
      <c r="O92" s="6">
        <f>IF(COUNTIF(PC.TU105.Inp!$C92:$L92,"")=10,"",IF(PC.TU105.Inp!$L92="","NULL",PC.TU105.Inp!$L92))</f>
        <v>0</v>
      </c>
      <c r="P92" s="7" t="e">
        <f ca="1">IF(COUNTIF(PC.TU105.Inp!$C92:$L92,"")=10,"","("&amp;_xlfn.TEXTJOIN(",",FALSE,$C92:$O92)&amp;"),")</f>
        <v>#NAME?</v>
      </c>
    </row>
    <row r="93" spans="1:16" x14ac:dyDescent="0.3">
      <c r="A93" s="1" t="s">
        <v>138</v>
      </c>
      <c r="B93" s="1">
        <f t="shared" si="1"/>
        <v>92</v>
      </c>
      <c r="C93" s="6" t="str">
        <f>IF(COUNTIF(PC.TU105.Inp!$C93:$L93,"")=10,"","NULL")</f>
        <v>NULL</v>
      </c>
      <c r="D93" s="6" t="str">
        <f>IF(COUNTIF(PC.TU105.Inp!$C93:$L93,"")=10,"","NULL")</f>
        <v>NULL</v>
      </c>
      <c r="E93" s="6">
        <f>IF(COUNTIF(PC.TU105.Inp!$C93:$L93,"")=10,"",$B93)</f>
        <v>92</v>
      </c>
      <c r="F93" s="6">
        <f>IF(COUNTIF(PC.TU105.Inp!$C93:$L93,"")=10,"",IF(PC.TU105.Inp!$C93="","NULL",PC.TU105.Inp!$C93))</f>
        <v>360</v>
      </c>
      <c r="G93" s="6">
        <f>IF(COUNTIF(PC.TU105.Inp!$C93:$L93,"")=10,"",IF(PC.TU105.Inp!$D93="","NULL",PC.TU105.Inp!$D93))</f>
        <v>0</v>
      </c>
      <c r="H93" s="6">
        <f>IF(COUNTIF(PC.TU105.Inp!$C93:$L93,"")=10,"",IF(PC.TU105.Inp!$E93="","NULL",PC.TU105.Inp!$E93))</f>
        <v>72</v>
      </c>
      <c r="I93" s="6">
        <f>IF(COUNTIF(PC.TU105.Inp!$C93:$L93,"")=10,"",IF(PC.TU105.Inp!$F93="","NULL",PC.TU105.Inp!$F93))</f>
        <v>72</v>
      </c>
      <c r="J93" s="6" t="str">
        <f>IF(COUNTIF(PC.TU105.Inp!$C93:$L93,"")=10,"",IF(PC.TU105.Inp!$G93="","NULL",""""&amp;PC.TU105.Inp!$G93&amp;""""))</f>
        <v>NULL</v>
      </c>
      <c r="K93" s="6" t="str">
        <f>IF(COUNTIF(PC.TU105.Inp!$C93:$L93,"")=10,"",IF(PC.TU105.Inp!$H93="","NULL",""""&amp;PC.TU105.Inp!$H93&amp;""""))</f>
        <v>"F4"</v>
      </c>
      <c r="L93" s="6" t="str">
        <f>IF(COUNTIF(PC.TU105.Inp!$C93:$L93,"")=10,"",IF(PC.TU105.Inp!$I93="","NULL",""""&amp;PC.TU105.Inp!$I93&amp;""""))</f>
        <v>NULL</v>
      </c>
      <c r="M93" s="6" t="str">
        <f>IF(COUNTIF(PC.TU105.Inp!$C93:$L93,"")=10,"",IF(PC.TU105.Inp!$J93="","NULL",""""&amp;PC.TU105.Inp!$J93&amp;""""))</f>
        <v>NULL</v>
      </c>
      <c r="N93" s="6">
        <f>IF(COUNTIF(PC.TU105.Inp!$C93:$L93,"")=10,"",IF(PC.TU105.Inp!$K93="","NULL",PC.TU105.Inp!$K93))</f>
        <v>0</v>
      </c>
      <c r="O93" s="6">
        <f>IF(COUNTIF(PC.TU105.Inp!$C93:$L93,"")=10,"",IF(PC.TU105.Inp!$L93="","NULL",PC.TU105.Inp!$L93))</f>
        <v>0</v>
      </c>
      <c r="P93" s="7" t="e">
        <f ca="1">IF(COUNTIF(PC.TU105.Inp!$C93:$L93,"")=10,"","("&amp;_xlfn.TEXTJOIN(",",FALSE,$C93:$O93)&amp;"),")</f>
        <v>#NAME?</v>
      </c>
    </row>
    <row r="94" spans="1:16" x14ac:dyDescent="0.3">
      <c r="A94" s="1" t="s">
        <v>139</v>
      </c>
      <c r="B94" s="1">
        <f t="shared" si="1"/>
        <v>93</v>
      </c>
      <c r="C94" s="6" t="str">
        <f>IF(COUNTIF(PC.TU105.Inp!$C94:$L94,"")=10,"","NULL")</f>
        <v>NULL</v>
      </c>
      <c r="D94" s="6" t="str">
        <f>IF(COUNTIF(PC.TU105.Inp!$C94:$L94,"")=10,"","NULL")</f>
        <v>NULL</v>
      </c>
      <c r="E94" s="6">
        <f>IF(COUNTIF(PC.TU105.Inp!$C94:$L94,"")=10,"",$B94)</f>
        <v>93</v>
      </c>
      <c r="F94" s="6">
        <f>IF(COUNTIF(PC.TU105.Inp!$C94:$L94,"")=10,"",IF(PC.TU105.Inp!$C94="","NULL",PC.TU105.Inp!$C94))</f>
        <v>468</v>
      </c>
      <c r="G94" s="6">
        <f>IF(COUNTIF(PC.TU105.Inp!$C94:$L94,"")=10,"",IF(PC.TU105.Inp!$D94="","NULL",PC.TU105.Inp!$D94))</f>
        <v>0</v>
      </c>
      <c r="H94" s="6">
        <f>IF(COUNTIF(PC.TU105.Inp!$C94:$L94,"")=10,"",IF(PC.TU105.Inp!$E94="","NULL",PC.TU105.Inp!$E94))</f>
        <v>72</v>
      </c>
      <c r="I94" s="6">
        <f>IF(COUNTIF(PC.TU105.Inp!$C94:$L94,"")=10,"",IF(PC.TU105.Inp!$F94="","NULL",PC.TU105.Inp!$F94))</f>
        <v>72</v>
      </c>
      <c r="J94" s="6" t="str">
        <f>IF(COUNTIF(PC.TU105.Inp!$C94:$L94,"")=10,"",IF(PC.TU105.Inp!$G94="","NULL",""""&amp;PC.TU105.Inp!$G94&amp;""""))</f>
        <v>NULL</v>
      </c>
      <c r="K94" s="6" t="str">
        <f>IF(COUNTIF(PC.TU105.Inp!$C94:$L94,"")=10,"",IF(PC.TU105.Inp!$H94="","NULL",""""&amp;PC.TU105.Inp!$H94&amp;""""))</f>
        <v>"F5"</v>
      </c>
      <c r="L94" s="6" t="str">
        <f>IF(COUNTIF(PC.TU105.Inp!$C94:$L94,"")=10,"",IF(PC.TU105.Inp!$I94="","NULL",""""&amp;PC.TU105.Inp!$I94&amp;""""))</f>
        <v>NULL</v>
      </c>
      <c r="M94" s="6" t="str">
        <f>IF(COUNTIF(PC.TU105.Inp!$C94:$L94,"")=10,"",IF(PC.TU105.Inp!$J94="","NULL",""""&amp;PC.TU105.Inp!$J94&amp;""""))</f>
        <v>NULL</v>
      </c>
      <c r="N94" s="6">
        <f>IF(COUNTIF(PC.TU105.Inp!$C94:$L94,"")=10,"",IF(PC.TU105.Inp!$K94="","NULL",PC.TU105.Inp!$K94))</f>
        <v>0</v>
      </c>
      <c r="O94" s="6">
        <f>IF(COUNTIF(PC.TU105.Inp!$C94:$L94,"")=10,"",IF(PC.TU105.Inp!$L94="","NULL",PC.TU105.Inp!$L94))</f>
        <v>0</v>
      </c>
      <c r="P94" s="7" t="e">
        <f ca="1">IF(COUNTIF(PC.TU105.Inp!$C94:$L94,"")=10,"","("&amp;_xlfn.TEXTJOIN(",",FALSE,$C94:$O94)&amp;"),")</f>
        <v>#NAME?</v>
      </c>
    </row>
    <row r="95" spans="1:16" x14ac:dyDescent="0.3">
      <c r="A95" s="1" t="s">
        <v>140</v>
      </c>
      <c r="B95" s="1">
        <f t="shared" si="1"/>
        <v>94</v>
      </c>
      <c r="C95" s="6" t="str">
        <f>IF(COUNTIF(PC.TU105.Inp!$C95:$L95,"")=10,"","NULL")</f>
        <v>NULL</v>
      </c>
      <c r="D95" s="6" t="str">
        <f>IF(COUNTIF(PC.TU105.Inp!$C95:$L95,"")=10,"","NULL")</f>
        <v>NULL</v>
      </c>
      <c r="E95" s="6">
        <f>IF(COUNTIF(PC.TU105.Inp!$C95:$L95,"")=10,"",$B95)</f>
        <v>94</v>
      </c>
      <c r="F95" s="6">
        <f>IF(COUNTIF(PC.TU105.Inp!$C95:$L95,"")=10,"",IF(PC.TU105.Inp!$C95="","NULL",PC.TU105.Inp!$C95))</f>
        <v>540</v>
      </c>
      <c r="G95" s="6">
        <f>IF(COUNTIF(PC.TU105.Inp!$C95:$L95,"")=10,"",IF(PC.TU105.Inp!$D95="","NULL",PC.TU105.Inp!$D95))</f>
        <v>0</v>
      </c>
      <c r="H95" s="6">
        <f>IF(COUNTIF(PC.TU105.Inp!$C95:$L95,"")=10,"",IF(PC.TU105.Inp!$E95="","NULL",PC.TU105.Inp!$E95))</f>
        <v>72</v>
      </c>
      <c r="I95" s="6">
        <f>IF(COUNTIF(PC.TU105.Inp!$C95:$L95,"")=10,"",IF(PC.TU105.Inp!$F95="","NULL",PC.TU105.Inp!$F95))</f>
        <v>72</v>
      </c>
      <c r="J95" s="6" t="str">
        <f>IF(COUNTIF(PC.TU105.Inp!$C95:$L95,"")=10,"",IF(PC.TU105.Inp!$G95="","NULL",""""&amp;PC.TU105.Inp!$G95&amp;""""))</f>
        <v>NULL</v>
      </c>
      <c r="K95" s="6" t="str">
        <f>IF(COUNTIF(PC.TU105.Inp!$C95:$L95,"")=10,"",IF(PC.TU105.Inp!$H95="","NULL",""""&amp;PC.TU105.Inp!$H95&amp;""""))</f>
        <v>"F6"</v>
      </c>
      <c r="L95" s="6" t="str">
        <f>IF(COUNTIF(PC.TU105.Inp!$C95:$L95,"")=10,"",IF(PC.TU105.Inp!$I95="","NULL",""""&amp;PC.TU105.Inp!$I95&amp;""""))</f>
        <v>NULL</v>
      </c>
      <c r="M95" s="6" t="str">
        <f>IF(COUNTIF(PC.TU105.Inp!$C95:$L95,"")=10,"",IF(PC.TU105.Inp!$J95="","NULL",""""&amp;PC.TU105.Inp!$J95&amp;""""))</f>
        <v>NULL</v>
      </c>
      <c r="N95" s="6">
        <f>IF(COUNTIF(PC.TU105.Inp!$C95:$L95,"")=10,"",IF(PC.TU105.Inp!$K95="","NULL",PC.TU105.Inp!$K95))</f>
        <v>0</v>
      </c>
      <c r="O95" s="6">
        <f>IF(COUNTIF(PC.TU105.Inp!$C95:$L95,"")=10,"",IF(PC.TU105.Inp!$L95="","NULL",PC.TU105.Inp!$L95))</f>
        <v>0</v>
      </c>
      <c r="P95" s="7" t="e">
        <f ca="1">IF(COUNTIF(PC.TU105.Inp!$C95:$L95,"")=10,"","("&amp;_xlfn.TEXTJOIN(",",FALSE,$C95:$O95)&amp;"),")</f>
        <v>#NAME?</v>
      </c>
    </row>
    <row r="96" spans="1:16" x14ac:dyDescent="0.3">
      <c r="A96" s="1" t="s">
        <v>141</v>
      </c>
      <c r="B96" s="1">
        <f t="shared" si="1"/>
        <v>95</v>
      </c>
      <c r="C96" s="6" t="str">
        <f>IF(COUNTIF(PC.TU105.Inp!$C96:$L96,"")=10,"","NULL")</f>
        <v>NULL</v>
      </c>
      <c r="D96" s="6" t="str">
        <f>IF(COUNTIF(PC.TU105.Inp!$C96:$L96,"")=10,"","NULL")</f>
        <v>NULL</v>
      </c>
      <c r="E96" s="6">
        <f>IF(COUNTIF(PC.TU105.Inp!$C96:$L96,"")=10,"",$B96)</f>
        <v>95</v>
      </c>
      <c r="F96" s="6">
        <f>IF(COUNTIF(PC.TU105.Inp!$C96:$L96,"")=10,"",IF(PC.TU105.Inp!$C96="","NULL",PC.TU105.Inp!$C96))</f>
        <v>612</v>
      </c>
      <c r="G96" s="6">
        <f>IF(COUNTIF(PC.TU105.Inp!$C96:$L96,"")=10,"",IF(PC.TU105.Inp!$D96="","NULL",PC.TU105.Inp!$D96))</f>
        <v>0</v>
      </c>
      <c r="H96" s="6">
        <f>IF(COUNTIF(PC.TU105.Inp!$C96:$L96,"")=10,"",IF(PC.TU105.Inp!$E96="","NULL",PC.TU105.Inp!$E96))</f>
        <v>72</v>
      </c>
      <c r="I96" s="6">
        <f>IF(COUNTIF(PC.TU105.Inp!$C96:$L96,"")=10,"",IF(PC.TU105.Inp!$F96="","NULL",PC.TU105.Inp!$F96))</f>
        <v>72</v>
      </c>
      <c r="J96" s="6" t="str">
        <f>IF(COUNTIF(PC.TU105.Inp!$C96:$L96,"")=10,"",IF(PC.TU105.Inp!$G96="","NULL",""""&amp;PC.TU105.Inp!$G96&amp;""""))</f>
        <v>NULL</v>
      </c>
      <c r="K96" s="6" t="str">
        <f>IF(COUNTIF(PC.TU105.Inp!$C96:$L96,"")=10,"",IF(PC.TU105.Inp!$H96="","NULL",""""&amp;PC.TU105.Inp!$H96&amp;""""))</f>
        <v>"F7"</v>
      </c>
      <c r="L96" s="6" t="str">
        <f>IF(COUNTIF(PC.TU105.Inp!$C96:$L96,"")=10,"",IF(PC.TU105.Inp!$I96="","NULL",""""&amp;PC.TU105.Inp!$I96&amp;""""))</f>
        <v>NULL</v>
      </c>
      <c r="M96" s="6" t="str">
        <f>IF(COUNTIF(PC.TU105.Inp!$C96:$L96,"")=10,"",IF(PC.TU105.Inp!$J96="","NULL",""""&amp;PC.TU105.Inp!$J96&amp;""""))</f>
        <v>NULL</v>
      </c>
      <c r="N96" s="6">
        <f>IF(COUNTIF(PC.TU105.Inp!$C96:$L96,"")=10,"",IF(PC.TU105.Inp!$K96="","NULL",PC.TU105.Inp!$K96))</f>
        <v>0</v>
      </c>
      <c r="O96" s="6">
        <f>IF(COUNTIF(PC.TU105.Inp!$C96:$L96,"")=10,"",IF(PC.TU105.Inp!$L96="","NULL",PC.TU105.Inp!$L96))</f>
        <v>0</v>
      </c>
      <c r="P96" s="7" t="e">
        <f ca="1">IF(COUNTIF(PC.TU105.Inp!$C96:$L96,"")=10,"","("&amp;_xlfn.TEXTJOIN(",",FALSE,$C96:$O96)&amp;"),")</f>
        <v>#NAME?</v>
      </c>
    </row>
    <row r="97" spans="1:16" x14ac:dyDescent="0.3">
      <c r="A97" s="1" t="s">
        <v>142</v>
      </c>
      <c r="B97" s="1">
        <f t="shared" si="1"/>
        <v>96</v>
      </c>
      <c r="C97" s="6" t="str">
        <f>IF(COUNTIF(PC.TU105.Inp!$C97:$L97,"")=10,"","NULL")</f>
        <v>NULL</v>
      </c>
      <c r="D97" s="6" t="str">
        <f>IF(COUNTIF(PC.TU105.Inp!$C97:$L97,"")=10,"","NULL")</f>
        <v>NULL</v>
      </c>
      <c r="E97" s="6">
        <f>IF(COUNTIF(PC.TU105.Inp!$C97:$L97,"")=10,"",$B97)</f>
        <v>96</v>
      </c>
      <c r="F97" s="6">
        <f>IF(COUNTIF(PC.TU105.Inp!$C97:$L97,"")=10,"",IF(PC.TU105.Inp!$C97="","NULL",PC.TU105.Inp!$C97))</f>
        <v>684</v>
      </c>
      <c r="G97" s="6">
        <f>IF(COUNTIF(PC.TU105.Inp!$C97:$L97,"")=10,"",IF(PC.TU105.Inp!$D97="","NULL",PC.TU105.Inp!$D97))</f>
        <v>0</v>
      </c>
      <c r="H97" s="6">
        <f>IF(COUNTIF(PC.TU105.Inp!$C97:$L97,"")=10,"",IF(PC.TU105.Inp!$E97="","NULL",PC.TU105.Inp!$E97))</f>
        <v>72</v>
      </c>
      <c r="I97" s="6">
        <f>IF(COUNTIF(PC.TU105.Inp!$C97:$L97,"")=10,"",IF(PC.TU105.Inp!$F97="","NULL",PC.TU105.Inp!$F97))</f>
        <v>72</v>
      </c>
      <c r="J97" s="6" t="str">
        <f>IF(COUNTIF(PC.TU105.Inp!$C97:$L97,"")=10,"",IF(PC.TU105.Inp!$G97="","NULL",""""&amp;PC.TU105.Inp!$G97&amp;""""))</f>
        <v>NULL</v>
      </c>
      <c r="K97" s="6" t="str">
        <f>IF(COUNTIF(PC.TU105.Inp!$C97:$L97,"")=10,"",IF(PC.TU105.Inp!$H97="","NULL",""""&amp;PC.TU105.Inp!$H97&amp;""""))</f>
        <v>"F8"</v>
      </c>
      <c r="L97" s="6" t="str">
        <f>IF(COUNTIF(PC.TU105.Inp!$C97:$L97,"")=10,"",IF(PC.TU105.Inp!$I97="","NULL",""""&amp;PC.TU105.Inp!$I97&amp;""""))</f>
        <v>NULL</v>
      </c>
      <c r="M97" s="6" t="str">
        <f>IF(COUNTIF(PC.TU105.Inp!$C97:$L97,"")=10,"",IF(PC.TU105.Inp!$J97="","NULL",""""&amp;PC.TU105.Inp!$J97&amp;""""))</f>
        <v>NULL</v>
      </c>
      <c r="N97" s="6">
        <f>IF(COUNTIF(PC.TU105.Inp!$C97:$L97,"")=10,"",IF(PC.TU105.Inp!$K97="","NULL",PC.TU105.Inp!$K97))</f>
        <v>0</v>
      </c>
      <c r="O97" s="6">
        <f>IF(COUNTIF(PC.TU105.Inp!$C97:$L97,"")=10,"",IF(PC.TU105.Inp!$L97="","NULL",PC.TU105.Inp!$L97))</f>
        <v>0</v>
      </c>
      <c r="P97" s="7" t="e">
        <f ca="1">IF(COUNTIF(PC.TU105.Inp!$C97:$L97,"")=10,"","("&amp;_xlfn.TEXTJOIN(",",FALSE,$C97:$O97)&amp;"),")</f>
        <v>#NAME?</v>
      </c>
    </row>
    <row r="98" spans="1:16" x14ac:dyDescent="0.3">
      <c r="A98" s="1" t="s">
        <v>143</v>
      </c>
      <c r="B98" s="1">
        <f t="shared" si="1"/>
        <v>97</v>
      </c>
      <c r="C98" s="6" t="str">
        <f>IF(COUNTIF(PC.TU105.Inp!$C98:$L98,"")=10,"","NULL")</f>
        <v>NULL</v>
      </c>
      <c r="D98" s="6" t="str">
        <f>IF(COUNTIF(PC.TU105.Inp!$C98:$L98,"")=10,"","NULL")</f>
        <v>NULL</v>
      </c>
      <c r="E98" s="6">
        <f>IF(COUNTIF(PC.TU105.Inp!$C98:$L98,"")=10,"",$B98)</f>
        <v>97</v>
      </c>
      <c r="F98" s="6">
        <f>IF(COUNTIF(PC.TU105.Inp!$C98:$L98,"")=10,"",IF(PC.TU105.Inp!$C98="","NULL",PC.TU105.Inp!$C98))</f>
        <v>792</v>
      </c>
      <c r="G98" s="6">
        <f>IF(COUNTIF(PC.TU105.Inp!$C98:$L98,"")=10,"",IF(PC.TU105.Inp!$D98="","NULL",PC.TU105.Inp!$D98))</f>
        <v>0</v>
      </c>
      <c r="H98" s="6">
        <f>IF(COUNTIF(PC.TU105.Inp!$C98:$L98,"")=10,"",IF(PC.TU105.Inp!$E98="","NULL",PC.TU105.Inp!$E98))</f>
        <v>72</v>
      </c>
      <c r="I98" s="6">
        <f>IF(COUNTIF(PC.TU105.Inp!$C98:$L98,"")=10,"",IF(PC.TU105.Inp!$F98="","NULL",PC.TU105.Inp!$F98))</f>
        <v>72</v>
      </c>
      <c r="J98" s="6" t="str">
        <f>IF(COUNTIF(PC.TU105.Inp!$C98:$L98,"")=10,"",IF(PC.TU105.Inp!$G98="","NULL",""""&amp;PC.TU105.Inp!$G98&amp;""""))</f>
        <v>NULL</v>
      </c>
      <c r="K98" s="6" t="str">
        <f>IF(COUNTIF(PC.TU105.Inp!$C98:$L98,"")=10,"",IF(PC.TU105.Inp!$H98="","NULL",""""&amp;PC.TU105.Inp!$H98&amp;""""))</f>
        <v>"F9"</v>
      </c>
      <c r="L98" s="6" t="str">
        <f>IF(COUNTIF(PC.TU105.Inp!$C98:$L98,"")=10,"",IF(PC.TU105.Inp!$I98="","NULL",""""&amp;PC.TU105.Inp!$I98&amp;""""))</f>
        <v>NULL</v>
      </c>
      <c r="M98" s="6" t="str">
        <f>IF(COUNTIF(PC.TU105.Inp!$C98:$L98,"")=10,"",IF(PC.TU105.Inp!$J98="","NULL",""""&amp;PC.TU105.Inp!$J98&amp;""""))</f>
        <v>NULL</v>
      </c>
      <c r="N98" s="6">
        <f>IF(COUNTIF(PC.TU105.Inp!$C98:$L98,"")=10,"",IF(PC.TU105.Inp!$K98="","NULL",PC.TU105.Inp!$K98))</f>
        <v>0</v>
      </c>
      <c r="O98" s="6">
        <f>IF(COUNTIF(PC.TU105.Inp!$C98:$L98,"")=10,"",IF(PC.TU105.Inp!$L98="","NULL",PC.TU105.Inp!$L98))</f>
        <v>0</v>
      </c>
      <c r="P98" s="7" t="e">
        <f ca="1">IF(COUNTIF(PC.TU105.Inp!$C98:$L98,"")=10,"","("&amp;_xlfn.TEXTJOIN(",",FALSE,$C98:$O98)&amp;"),")</f>
        <v>#NAME?</v>
      </c>
    </row>
    <row r="99" spans="1:16" x14ac:dyDescent="0.3">
      <c r="A99" s="1" t="s">
        <v>144</v>
      </c>
      <c r="B99" s="1">
        <f t="shared" si="1"/>
        <v>98</v>
      </c>
      <c r="C99" s="6" t="str">
        <f>IF(COUNTIF(PC.TU105.Inp!$C99:$L99,"")=10,"","NULL")</f>
        <v>NULL</v>
      </c>
      <c r="D99" s="6" t="str">
        <f>IF(COUNTIF(PC.TU105.Inp!$C99:$L99,"")=10,"","NULL")</f>
        <v>NULL</v>
      </c>
      <c r="E99" s="6">
        <f>IF(COUNTIF(PC.TU105.Inp!$C99:$L99,"")=10,"",$B99)</f>
        <v>98</v>
      </c>
      <c r="F99" s="6">
        <f>IF(COUNTIF(PC.TU105.Inp!$C99:$L99,"")=10,"",IF(PC.TU105.Inp!$C99="","NULL",PC.TU105.Inp!$C99))</f>
        <v>864</v>
      </c>
      <c r="G99" s="6">
        <f>IF(COUNTIF(PC.TU105.Inp!$C99:$L99,"")=10,"",IF(PC.TU105.Inp!$D99="","NULL",PC.TU105.Inp!$D99))</f>
        <v>0</v>
      </c>
      <c r="H99" s="6">
        <f>IF(COUNTIF(PC.TU105.Inp!$C99:$L99,"")=10,"",IF(PC.TU105.Inp!$E99="","NULL",PC.TU105.Inp!$E99))</f>
        <v>72</v>
      </c>
      <c r="I99" s="6">
        <f>IF(COUNTIF(PC.TU105.Inp!$C99:$L99,"")=10,"",IF(PC.TU105.Inp!$F99="","NULL",PC.TU105.Inp!$F99))</f>
        <v>72</v>
      </c>
      <c r="J99" s="6" t="str">
        <f>IF(COUNTIF(PC.TU105.Inp!$C99:$L99,"")=10,"",IF(PC.TU105.Inp!$G99="","NULL",""""&amp;PC.TU105.Inp!$G99&amp;""""))</f>
        <v>NULL</v>
      </c>
      <c r="K99" s="6" t="str">
        <f>IF(COUNTIF(PC.TU105.Inp!$C99:$L99,"")=10,"",IF(PC.TU105.Inp!$H99="","NULL",""""&amp;PC.TU105.Inp!$H99&amp;""""))</f>
        <v>"F10"</v>
      </c>
      <c r="L99" s="6" t="str">
        <f>IF(COUNTIF(PC.TU105.Inp!$C99:$L99,"")=10,"",IF(PC.TU105.Inp!$I99="","NULL",""""&amp;PC.TU105.Inp!$I99&amp;""""))</f>
        <v>NULL</v>
      </c>
      <c r="M99" s="6" t="str">
        <f>IF(COUNTIF(PC.TU105.Inp!$C99:$L99,"")=10,"",IF(PC.TU105.Inp!$J99="","NULL",""""&amp;PC.TU105.Inp!$J99&amp;""""))</f>
        <v>NULL</v>
      </c>
      <c r="N99" s="6">
        <f>IF(COUNTIF(PC.TU105.Inp!$C99:$L99,"")=10,"",IF(PC.TU105.Inp!$K99="","NULL",PC.TU105.Inp!$K99))</f>
        <v>0</v>
      </c>
      <c r="O99" s="6">
        <f>IF(COUNTIF(PC.TU105.Inp!$C99:$L99,"")=10,"",IF(PC.TU105.Inp!$L99="","NULL",PC.TU105.Inp!$L99))</f>
        <v>0</v>
      </c>
      <c r="P99" s="7" t="e">
        <f ca="1">IF(COUNTIF(PC.TU105.Inp!$C99:$L99,"")=10,"","("&amp;_xlfn.TEXTJOIN(",",FALSE,$C99:$O99)&amp;"),")</f>
        <v>#NAME?</v>
      </c>
    </row>
    <row r="100" spans="1:16" x14ac:dyDescent="0.3">
      <c r="A100" s="1" t="s">
        <v>145</v>
      </c>
      <c r="B100" s="1">
        <f t="shared" si="1"/>
        <v>99</v>
      </c>
      <c r="C100" s="6" t="str">
        <f>IF(COUNTIF(PC.TU105.Inp!$C100:$L100,"")=10,"","NULL")</f>
        <v>NULL</v>
      </c>
      <c r="D100" s="6" t="str">
        <f>IF(COUNTIF(PC.TU105.Inp!$C100:$L100,"")=10,"","NULL")</f>
        <v>NULL</v>
      </c>
      <c r="E100" s="6">
        <f>IF(COUNTIF(PC.TU105.Inp!$C100:$L100,"")=10,"",$B100)</f>
        <v>99</v>
      </c>
      <c r="F100" s="6">
        <f>IF(COUNTIF(PC.TU105.Inp!$C100:$L100,"")=10,"",IF(PC.TU105.Inp!$C100="","NULL",PC.TU105.Inp!$C100))</f>
        <v>936</v>
      </c>
      <c r="G100" s="6">
        <f>IF(COUNTIF(PC.TU105.Inp!$C100:$L100,"")=10,"",IF(PC.TU105.Inp!$D100="","NULL",PC.TU105.Inp!$D100))</f>
        <v>0</v>
      </c>
      <c r="H100" s="6">
        <f>IF(COUNTIF(PC.TU105.Inp!$C100:$L100,"")=10,"",IF(PC.TU105.Inp!$E100="","NULL",PC.TU105.Inp!$E100))</f>
        <v>72</v>
      </c>
      <c r="I100" s="6">
        <f>IF(COUNTIF(PC.TU105.Inp!$C100:$L100,"")=10,"",IF(PC.TU105.Inp!$F100="","NULL",PC.TU105.Inp!$F100))</f>
        <v>72</v>
      </c>
      <c r="J100" s="6" t="str">
        <f>IF(COUNTIF(PC.TU105.Inp!$C100:$L100,"")=10,"",IF(PC.TU105.Inp!$G100="","NULL",""""&amp;PC.TU105.Inp!$G100&amp;""""))</f>
        <v>NULL</v>
      </c>
      <c r="K100" s="6" t="str">
        <f>IF(COUNTIF(PC.TU105.Inp!$C100:$L100,"")=10,"",IF(PC.TU105.Inp!$H100="","NULL",""""&amp;PC.TU105.Inp!$H100&amp;""""))</f>
        <v>"F11"</v>
      </c>
      <c r="L100" s="6" t="str">
        <f>IF(COUNTIF(PC.TU105.Inp!$C100:$L100,"")=10,"",IF(PC.TU105.Inp!$I100="","NULL",""""&amp;PC.TU105.Inp!$I100&amp;""""))</f>
        <v>NULL</v>
      </c>
      <c r="M100" s="6" t="str">
        <f>IF(COUNTIF(PC.TU105.Inp!$C100:$L100,"")=10,"",IF(PC.TU105.Inp!$J100="","NULL",""""&amp;PC.TU105.Inp!$J100&amp;""""))</f>
        <v>NULL</v>
      </c>
      <c r="N100" s="6">
        <f>IF(COUNTIF(PC.TU105.Inp!$C100:$L100,"")=10,"",IF(PC.TU105.Inp!$K100="","NULL",PC.TU105.Inp!$K100))</f>
        <v>0</v>
      </c>
      <c r="O100" s="6">
        <f>IF(COUNTIF(PC.TU105.Inp!$C100:$L100,"")=10,"",IF(PC.TU105.Inp!$L100="","NULL",PC.TU105.Inp!$L100))</f>
        <v>0</v>
      </c>
      <c r="P100" s="7" t="e">
        <f ca="1">IF(COUNTIF(PC.TU105.Inp!$C100:$L100,"")=10,"","("&amp;_xlfn.TEXTJOIN(",",FALSE,$C100:$O100)&amp;"),")</f>
        <v>#NAME?</v>
      </c>
    </row>
    <row r="101" spans="1:16" x14ac:dyDescent="0.3">
      <c r="A101" s="1" t="s">
        <v>146</v>
      </c>
      <c r="B101" s="1">
        <f t="shared" si="1"/>
        <v>100</v>
      </c>
      <c r="C101" s="6" t="str">
        <f>IF(COUNTIF(PC.TU105.Inp!$C101:$L101,"")=10,"","NULL")</f>
        <v>NULL</v>
      </c>
      <c r="D101" s="6" t="str">
        <f>IF(COUNTIF(PC.TU105.Inp!$C101:$L101,"")=10,"","NULL")</f>
        <v>NULL</v>
      </c>
      <c r="E101" s="6">
        <f>IF(COUNTIF(PC.TU105.Inp!$C101:$L101,"")=10,"",$B101)</f>
        <v>100</v>
      </c>
      <c r="F101" s="6">
        <f>IF(COUNTIF(PC.TU105.Inp!$C101:$L101,"")=10,"",IF(PC.TU105.Inp!$C101="","NULL",PC.TU105.Inp!$C101))</f>
        <v>1008</v>
      </c>
      <c r="G101" s="6">
        <f>IF(COUNTIF(PC.TU105.Inp!$C101:$L101,"")=10,"",IF(PC.TU105.Inp!$D101="","NULL",PC.TU105.Inp!$D101))</f>
        <v>0</v>
      </c>
      <c r="H101" s="6">
        <f>IF(COUNTIF(PC.TU105.Inp!$C101:$L101,"")=10,"",IF(PC.TU105.Inp!$E101="","NULL",PC.TU105.Inp!$E101))</f>
        <v>72</v>
      </c>
      <c r="I101" s="6">
        <f>IF(COUNTIF(PC.TU105.Inp!$C101:$L101,"")=10,"",IF(PC.TU105.Inp!$F101="","NULL",PC.TU105.Inp!$F101))</f>
        <v>72</v>
      </c>
      <c r="J101" s="6" t="str">
        <f>IF(COUNTIF(PC.TU105.Inp!$C101:$L101,"")=10,"",IF(PC.TU105.Inp!$G101="","NULL",""""&amp;PC.TU105.Inp!$G101&amp;""""))</f>
        <v>NULL</v>
      </c>
      <c r="K101" s="6" t="str">
        <f>IF(COUNTIF(PC.TU105.Inp!$C101:$L101,"")=10,"",IF(PC.TU105.Inp!$H101="","NULL",""""&amp;PC.TU105.Inp!$H101&amp;""""))</f>
        <v>"F12"</v>
      </c>
      <c r="L101" s="6" t="str">
        <f>IF(COUNTIF(PC.TU105.Inp!$C101:$L101,"")=10,"",IF(PC.TU105.Inp!$I101="","NULL",""""&amp;PC.TU105.Inp!$I101&amp;""""))</f>
        <v>NULL</v>
      </c>
      <c r="M101" s="6" t="str">
        <f>IF(COUNTIF(PC.TU105.Inp!$C101:$L101,"")=10,"",IF(PC.TU105.Inp!$J101="","NULL",""""&amp;PC.TU105.Inp!$J101&amp;""""))</f>
        <v>NULL</v>
      </c>
      <c r="N101" s="6">
        <f>IF(COUNTIF(PC.TU105.Inp!$C101:$L101,"")=10,"",IF(PC.TU105.Inp!$K101="","NULL",PC.TU105.Inp!$K101))</f>
        <v>0</v>
      </c>
      <c r="O101" s="6">
        <f>IF(COUNTIF(PC.TU105.Inp!$C101:$L101,"")=10,"",IF(PC.TU105.Inp!$L101="","NULL",PC.TU105.Inp!$L101))</f>
        <v>0</v>
      </c>
      <c r="P101" s="7" t="e">
        <f ca="1">IF(COUNTIF(PC.TU105.Inp!$C101:$L101,"")=10,"","("&amp;_xlfn.TEXTJOIN(",",FALSE,$C101:$O101)&amp;"),")</f>
        <v>#NAME?</v>
      </c>
    </row>
    <row r="102" spans="1:16" x14ac:dyDescent="0.3">
      <c r="A102" s="1" t="s">
        <v>160</v>
      </c>
      <c r="B102" s="1">
        <f t="shared" si="1"/>
        <v>101</v>
      </c>
      <c r="C102" s="6" t="str">
        <f>IF(COUNTIF(PC.TU105.Inp!$C102:$L102,"")=10,"","NULL")</f>
        <v>NULL</v>
      </c>
      <c r="D102" s="6" t="str">
        <f>IF(COUNTIF(PC.TU105.Inp!$C102:$L102,"")=10,"","NULL")</f>
        <v>NULL</v>
      </c>
      <c r="E102" s="6">
        <f>IF(COUNTIF(PC.TU105.Inp!$C102:$L102,"")=10,"",$B102)</f>
        <v>101</v>
      </c>
      <c r="F102" s="6">
        <f>IF(COUNTIF(PC.TU105.Inp!$C102:$L102,"")=10,"",IF(PC.TU105.Inp!$C102="","NULL",PC.TU105.Inp!$C102))</f>
        <v>1110</v>
      </c>
      <c r="G102" s="6">
        <f>IF(COUNTIF(PC.TU105.Inp!$C102:$L102,"")=10,"",IF(PC.TU105.Inp!$D102="","NULL",PC.TU105.Inp!$D102))</f>
        <v>0</v>
      </c>
      <c r="H102" s="6">
        <f>IF(COUNTIF(PC.TU105.Inp!$C102:$L102,"")=10,"",IF(PC.TU105.Inp!$E102="","NULL",PC.TU105.Inp!$E102))</f>
        <v>72</v>
      </c>
      <c r="I102" s="6">
        <f>IF(COUNTIF(PC.TU105.Inp!$C102:$L102,"")=10,"",IF(PC.TU105.Inp!$F102="","NULL",PC.TU105.Inp!$F102))</f>
        <v>72</v>
      </c>
      <c r="J102" s="6" t="str">
        <f>IF(COUNTIF(PC.TU105.Inp!$C102:$L102,"")=10,"",IF(PC.TU105.Inp!$G102="","NULL",""""&amp;PC.TU105.Inp!$G102&amp;""""))</f>
        <v>NULL</v>
      </c>
      <c r="K102" s="6" t="str">
        <f>IF(COUNTIF(PC.TU105.Inp!$C102:$L102,"")=10,"",IF(PC.TU105.Inp!$H102="","NULL",""""&amp;PC.TU105.Inp!$H102&amp;""""))</f>
        <v>"PrtSc"</v>
      </c>
      <c r="L102" s="6" t="str">
        <f>IF(COUNTIF(PC.TU105.Inp!$C102:$L102,"")=10,"",IF(PC.TU105.Inp!$I102="","NULL",""""&amp;PC.TU105.Inp!$I102&amp;""""))</f>
        <v>NULL</v>
      </c>
      <c r="M102" s="6" t="str">
        <f>IF(COUNTIF(PC.TU105.Inp!$C102:$L102,"")=10,"",IF(PC.TU105.Inp!$J102="","NULL",""""&amp;PC.TU105.Inp!$J102&amp;""""))</f>
        <v>NULL</v>
      </c>
      <c r="N102" s="6">
        <f>IF(COUNTIF(PC.TU105.Inp!$C102:$L102,"")=10,"",IF(PC.TU105.Inp!$K102="","NULL",PC.TU105.Inp!$K102))</f>
        <v>0</v>
      </c>
      <c r="O102" s="6">
        <f>IF(COUNTIF(PC.TU105.Inp!$C102:$L102,"")=10,"",IF(PC.TU105.Inp!$L102="","NULL",PC.TU105.Inp!$L102))</f>
        <v>0</v>
      </c>
      <c r="P102" s="7" t="e">
        <f ca="1">IF(COUNTIF(PC.TU105.Inp!$C102:$L102,"")=10,"","("&amp;_xlfn.TEXTJOIN(",",FALSE,$C102:$O102)&amp;"),")</f>
        <v>#NAME?</v>
      </c>
    </row>
    <row r="103" spans="1:16" x14ac:dyDescent="0.3">
      <c r="A103" s="1" t="s">
        <v>159</v>
      </c>
      <c r="B103" s="1">
        <f t="shared" si="1"/>
        <v>102</v>
      </c>
      <c r="C103" s="6" t="str">
        <f>IF(COUNTIF(PC.TU105.Inp!$C103:$L103,"")=10,"","NULL")</f>
        <v>NULL</v>
      </c>
      <c r="D103" s="6" t="str">
        <f>IF(COUNTIF(PC.TU105.Inp!$C103:$L103,"")=10,"","NULL")</f>
        <v>NULL</v>
      </c>
      <c r="E103" s="6">
        <f>IF(COUNTIF(PC.TU105.Inp!$C103:$L103,"")=10,"",$B103)</f>
        <v>102</v>
      </c>
      <c r="F103" s="6">
        <f>IF(COUNTIF(PC.TU105.Inp!$C103:$L103,"")=10,"",IF(PC.TU105.Inp!$C103="","NULL",PC.TU105.Inp!$C103))</f>
        <v>1182</v>
      </c>
      <c r="G103" s="6">
        <f>IF(COUNTIF(PC.TU105.Inp!$C103:$L103,"")=10,"",IF(PC.TU105.Inp!$D103="","NULL",PC.TU105.Inp!$D103))</f>
        <v>0</v>
      </c>
      <c r="H103" s="6">
        <f>IF(COUNTIF(PC.TU105.Inp!$C103:$L103,"")=10,"",IF(PC.TU105.Inp!$E103="","NULL",PC.TU105.Inp!$E103))</f>
        <v>72</v>
      </c>
      <c r="I103" s="6">
        <f>IF(COUNTIF(PC.TU105.Inp!$C103:$L103,"")=10,"",IF(PC.TU105.Inp!$F103="","NULL",PC.TU105.Inp!$F103))</f>
        <v>72</v>
      </c>
      <c r="J103" s="6" t="str">
        <f>IF(COUNTIF(PC.TU105.Inp!$C103:$L103,"")=10,"",IF(PC.TU105.Inp!$G103="","NULL",""""&amp;PC.TU105.Inp!$G103&amp;""""))</f>
        <v>NULL</v>
      </c>
      <c r="K103" s="6" t="str">
        <f>IF(COUNTIF(PC.TU105.Inp!$C103:$L103,"")=10,"",IF(PC.TU105.Inp!$H103="","NULL",""""&amp;PC.TU105.Inp!$H103&amp;""""))</f>
        <v>"ScrLk"</v>
      </c>
      <c r="L103" s="6" t="str">
        <f>IF(COUNTIF(PC.TU105.Inp!$C103:$L103,"")=10,"",IF(PC.TU105.Inp!$I103="","NULL",""""&amp;PC.TU105.Inp!$I103&amp;""""))</f>
        <v>NULL</v>
      </c>
      <c r="M103" s="6" t="str">
        <f>IF(COUNTIF(PC.TU105.Inp!$C103:$L103,"")=10,"",IF(PC.TU105.Inp!$J103="","NULL",""""&amp;PC.TU105.Inp!$J103&amp;""""))</f>
        <v>NULL</v>
      </c>
      <c r="N103" s="6">
        <f>IF(COUNTIF(PC.TU105.Inp!$C103:$L103,"")=10,"",IF(PC.TU105.Inp!$K103="","NULL",PC.TU105.Inp!$K103))</f>
        <v>0</v>
      </c>
      <c r="O103" s="6">
        <f>IF(COUNTIF(PC.TU105.Inp!$C103:$L103,"")=10,"",IF(PC.TU105.Inp!$L103="","NULL",PC.TU105.Inp!$L103))</f>
        <v>0</v>
      </c>
      <c r="P103" s="7" t="e">
        <f ca="1">IF(COUNTIF(PC.TU105.Inp!$C103:$L103,"")=10,"","("&amp;_xlfn.TEXTJOIN(",",FALSE,$C103:$O103)&amp;"),")</f>
        <v>#NAME?</v>
      </c>
    </row>
    <row r="104" spans="1:16" x14ac:dyDescent="0.3">
      <c r="A104" s="1" t="s">
        <v>149</v>
      </c>
      <c r="B104" s="1">
        <f t="shared" si="1"/>
        <v>103</v>
      </c>
      <c r="C104" s="6" t="str">
        <f>IF(COUNTIF(PC.TU105.Inp!$C104:$L104,"")=10,"","NULL")</f>
        <v>NULL</v>
      </c>
      <c r="D104" s="6" t="str">
        <f>IF(COUNTIF(PC.TU105.Inp!$C104:$L104,"")=10,"","NULL")</f>
        <v>NULL</v>
      </c>
      <c r="E104" s="6">
        <f>IF(COUNTIF(PC.TU105.Inp!$C104:$L104,"")=10,"",$B104)</f>
        <v>103</v>
      </c>
      <c r="F104" s="6">
        <f>IF(COUNTIF(PC.TU105.Inp!$C104:$L104,"")=10,"",IF(PC.TU105.Inp!$C104="","NULL",PC.TU105.Inp!$C104))</f>
        <v>1254</v>
      </c>
      <c r="G104" s="6">
        <f>IF(COUNTIF(PC.TU105.Inp!$C104:$L104,"")=10,"",IF(PC.TU105.Inp!$D104="","NULL",PC.TU105.Inp!$D104))</f>
        <v>0</v>
      </c>
      <c r="H104" s="6">
        <f>IF(COUNTIF(PC.TU105.Inp!$C104:$L104,"")=10,"",IF(PC.TU105.Inp!$E104="","NULL",PC.TU105.Inp!$E104))</f>
        <v>72</v>
      </c>
      <c r="I104" s="6">
        <f>IF(COUNTIF(PC.TU105.Inp!$C104:$L104,"")=10,"",IF(PC.TU105.Inp!$F104="","NULL",PC.TU105.Inp!$F104))</f>
        <v>72</v>
      </c>
      <c r="J104" s="6" t="str">
        <f>IF(COUNTIF(PC.TU105.Inp!$C104:$L104,"")=10,"",IF(PC.TU105.Inp!$G104="","NULL",""""&amp;PC.TU105.Inp!$G104&amp;""""))</f>
        <v>NULL</v>
      </c>
      <c r="K104" s="6" t="str">
        <f>IF(COUNTIF(PC.TU105.Inp!$C104:$L104,"")=10,"",IF(PC.TU105.Inp!$H104="","NULL",""""&amp;PC.TU105.Inp!$H104&amp;""""))</f>
        <v>"Pause"</v>
      </c>
      <c r="L104" s="6" t="str">
        <f>IF(COUNTIF(PC.TU105.Inp!$C104:$L104,"")=10,"",IF(PC.TU105.Inp!$I104="","NULL",""""&amp;PC.TU105.Inp!$I104&amp;""""))</f>
        <v>NULL</v>
      </c>
      <c r="M104" s="6" t="str">
        <f>IF(COUNTIF(PC.TU105.Inp!$C104:$L104,"")=10,"",IF(PC.TU105.Inp!$J104="","NULL",""""&amp;PC.TU105.Inp!$J104&amp;""""))</f>
        <v>NULL</v>
      </c>
      <c r="N104" s="6">
        <f>IF(COUNTIF(PC.TU105.Inp!$C104:$L104,"")=10,"",IF(PC.TU105.Inp!$K104="","NULL",PC.TU105.Inp!$K104))</f>
        <v>0</v>
      </c>
      <c r="O104" s="6">
        <f>IF(COUNTIF(PC.TU105.Inp!$C104:$L104,"")=10,"",IF(PC.TU105.Inp!$L104="","NULL",PC.TU105.Inp!$L104))</f>
        <v>0</v>
      </c>
      <c r="P104" s="7" t="e">
        <f ca="1">IF(COUNTIF(PC.TU105.Inp!$C104:$L104,"")=10,"","("&amp;_xlfn.TEXTJOIN(",",FALSE,$C104:$O104)&amp;"),")</f>
        <v>#NAME?</v>
      </c>
    </row>
    <row r="105" spans="1:16" x14ac:dyDescent="0.3">
      <c r="A105" s="1" t="s">
        <v>150</v>
      </c>
      <c r="B105" s="1">
        <f t="shared" si="1"/>
        <v>104</v>
      </c>
      <c r="C105" s="6" t="str">
        <f>IF(COUNTIF(PC.TU105.Inp!$C105:$L105,"")=10,"","NULL")</f>
        <v>NULL</v>
      </c>
      <c r="D105" s="6" t="str">
        <f>IF(COUNTIF(PC.TU105.Inp!$C105:$L105,"")=10,"","NULL")</f>
        <v>NULL</v>
      </c>
      <c r="E105" s="6">
        <f>IF(COUNTIF(PC.TU105.Inp!$C105:$L105,"")=10,"",$B105)</f>
        <v>104</v>
      </c>
      <c r="F105" s="6">
        <f>IF(COUNTIF(PC.TU105.Inp!$C105:$L105,"")=10,"",IF(PC.TU105.Inp!$C105="","NULL",PC.TU105.Inp!$C105))</f>
        <v>90</v>
      </c>
      <c r="G105" s="6">
        <f>IF(COUNTIF(PC.TU105.Inp!$C105:$L105,"")=10,"",IF(PC.TU105.Inp!$D105="","NULL",PC.TU105.Inp!$D105))</f>
        <v>396</v>
      </c>
      <c r="H105" s="6">
        <f>IF(COUNTIF(PC.TU105.Inp!$C105:$L105,"")=10,"",IF(PC.TU105.Inp!$E105="","NULL",PC.TU105.Inp!$E105))</f>
        <v>90</v>
      </c>
      <c r="I105" s="6">
        <f>IF(COUNTIF(PC.TU105.Inp!$C105:$L105,"")=10,"",IF(PC.TU105.Inp!$F105="","NULL",PC.TU105.Inp!$F105))</f>
        <v>72</v>
      </c>
      <c r="J105" s="6" t="str">
        <f>IF(COUNTIF(PC.TU105.Inp!$C105:$L105,"")=10,"",IF(PC.TU105.Inp!$G105="","NULL",""""&amp;PC.TU105.Inp!$G105&amp;""""))</f>
        <v>NULL</v>
      </c>
      <c r="K105" s="6" t="str">
        <f>IF(COUNTIF(PC.TU105.Inp!$C105:$L105,"")=10,"",IF(PC.TU105.Inp!$H105="","NULL",""""&amp;PC.TU105.Inp!$H105&amp;""""))</f>
        <v>"LSuper"</v>
      </c>
      <c r="L105" s="6" t="str">
        <f>IF(COUNTIF(PC.TU105.Inp!$C105:$L105,"")=10,"",IF(PC.TU105.Inp!$I105="","NULL",""""&amp;PC.TU105.Inp!$I105&amp;""""))</f>
        <v>NULL</v>
      </c>
      <c r="M105" s="6" t="str">
        <f>IF(COUNTIF(PC.TU105.Inp!$C105:$L105,"")=10,"",IF(PC.TU105.Inp!$J105="","NULL",""""&amp;PC.TU105.Inp!$J105&amp;""""))</f>
        <v>NULL</v>
      </c>
      <c r="N105" s="6">
        <f>IF(COUNTIF(PC.TU105.Inp!$C105:$L105,"")=10,"",IF(PC.TU105.Inp!$K105="","NULL",PC.TU105.Inp!$K105))</f>
        <v>0</v>
      </c>
      <c r="O105" s="6">
        <f>IF(COUNTIF(PC.TU105.Inp!$C105:$L105,"")=10,"",IF(PC.TU105.Inp!$L105="","NULL",PC.TU105.Inp!$L105))</f>
        <v>0</v>
      </c>
      <c r="P105" s="7" t="e">
        <f ca="1">IF(COUNTIF(PC.TU105.Inp!$C105:$L105,"")=10,"","("&amp;_xlfn.TEXTJOIN(",",FALSE,$C105:$O105)&amp;"),")</f>
        <v>#NAME?</v>
      </c>
    </row>
    <row r="106" spans="1:16" x14ac:dyDescent="0.3">
      <c r="A106" s="1" t="s">
        <v>151</v>
      </c>
      <c r="B106" s="1">
        <f t="shared" si="1"/>
        <v>105</v>
      </c>
      <c r="C106" s="6" t="str">
        <f>IF(COUNTIF(PC.TU105.Inp!$C106:$L106,"")=10,"","NULL")</f>
        <v>NULL</v>
      </c>
      <c r="D106" s="6" t="str">
        <f>IF(COUNTIF(PC.TU105.Inp!$C106:$L106,"")=10,"","NULL")</f>
        <v>NULL</v>
      </c>
      <c r="E106" s="6">
        <f>IF(COUNTIF(PC.TU105.Inp!$C106:$L106,"")=10,"",$B106)</f>
        <v>105</v>
      </c>
      <c r="F106" s="6">
        <f>IF(COUNTIF(PC.TU105.Inp!$C106:$L106,"")=10,"",IF(PC.TU105.Inp!$C106="","NULL",PC.TU105.Inp!$C106))</f>
        <v>810</v>
      </c>
      <c r="G106" s="6">
        <f>IF(COUNTIF(PC.TU105.Inp!$C106:$L106,"")=10,"",IF(PC.TU105.Inp!$D106="","NULL",PC.TU105.Inp!$D106))</f>
        <v>396</v>
      </c>
      <c r="H106" s="6">
        <f>IF(COUNTIF(PC.TU105.Inp!$C106:$L106,"")=10,"",IF(PC.TU105.Inp!$E106="","NULL",PC.TU105.Inp!$E106))</f>
        <v>90</v>
      </c>
      <c r="I106" s="6">
        <f>IF(COUNTIF(PC.TU105.Inp!$C106:$L106,"")=10,"",IF(PC.TU105.Inp!$F106="","NULL",PC.TU105.Inp!$F106))</f>
        <v>72</v>
      </c>
      <c r="J106" s="6" t="str">
        <f>IF(COUNTIF(PC.TU105.Inp!$C106:$L106,"")=10,"",IF(PC.TU105.Inp!$G106="","NULL",""""&amp;PC.TU105.Inp!$G106&amp;""""))</f>
        <v>NULL</v>
      </c>
      <c r="K106" s="6" t="str">
        <f>IF(COUNTIF(PC.TU105.Inp!$C106:$L106,"")=10,"",IF(PC.TU105.Inp!$H106="","NULL",""""&amp;PC.TU105.Inp!$H106&amp;""""))</f>
        <v>"RSuper"</v>
      </c>
      <c r="L106" s="6" t="str">
        <f>IF(COUNTIF(PC.TU105.Inp!$C106:$L106,"")=10,"",IF(PC.TU105.Inp!$I106="","NULL",""""&amp;PC.TU105.Inp!$I106&amp;""""))</f>
        <v>NULL</v>
      </c>
      <c r="M106" s="6" t="str">
        <f>IF(COUNTIF(PC.TU105.Inp!$C106:$L106,"")=10,"",IF(PC.TU105.Inp!$J106="","NULL",""""&amp;PC.TU105.Inp!$J106&amp;""""))</f>
        <v>NULL</v>
      </c>
      <c r="N106" s="6">
        <f>IF(COUNTIF(PC.TU105.Inp!$C106:$L106,"")=10,"",IF(PC.TU105.Inp!$K106="","NULL",PC.TU105.Inp!$K106))</f>
        <v>0</v>
      </c>
      <c r="O106" s="6">
        <f>IF(COUNTIF(PC.TU105.Inp!$C106:$L106,"")=10,"",IF(PC.TU105.Inp!$L106="","NULL",PC.TU105.Inp!$L106))</f>
        <v>0</v>
      </c>
      <c r="P106" s="7" t="e">
        <f ca="1">IF(COUNTIF(PC.TU105.Inp!$C106:$L106,"")=10,"","("&amp;_xlfn.TEXTJOIN(",",FALSE,$C106:$O106)&amp;"),")</f>
        <v>#NAME?</v>
      </c>
    </row>
    <row r="107" spans="1:16" x14ac:dyDescent="0.3">
      <c r="A107" s="1" t="s">
        <v>161</v>
      </c>
      <c r="B107" s="1">
        <f t="shared" si="1"/>
        <v>106</v>
      </c>
      <c r="C107" s="6" t="str">
        <f>IF(COUNTIF(PC.TU105.Inp!$C107:$L107,"")=10,"","NULL")</f>
        <v>NULL</v>
      </c>
      <c r="D107" s="6" t="str">
        <f>IF(COUNTIF(PC.TU105.Inp!$C107:$L107,"")=10,"","NULL")</f>
        <v>NULL</v>
      </c>
      <c r="E107" s="6">
        <f>IF(COUNTIF(PC.TU105.Inp!$C107:$L107,"")=10,"",$B107)</f>
        <v>106</v>
      </c>
      <c r="F107" s="6">
        <f>IF(COUNTIF(PC.TU105.Inp!$C107:$L107,"")=10,"",IF(PC.TU105.Inp!$C107="","NULL",PC.TU105.Inp!$C107))</f>
        <v>900</v>
      </c>
      <c r="G107" s="6">
        <f>IF(COUNTIF(PC.TU105.Inp!$C107:$L107,"")=10,"",IF(PC.TU105.Inp!$D107="","NULL",PC.TU105.Inp!$D107))</f>
        <v>396</v>
      </c>
      <c r="H107" s="6">
        <f>IF(COUNTIF(PC.TU105.Inp!$C107:$L107,"")=10,"",IF(PC.TU105.Inp!$E107="","NULL",PC.TU105.Inp!$E107))</f>
        <v>90</v>
      </c>
      <c r="I107" s="6">
        <f>IF(COUNTIF(PC.TU105.Inp!$C107:$L107,"")=10,"",IF(PC.TU105.Inp!$F107="","NULL",PC.TU105.Inp!$F107))</f>
        <v>72</v>
      </c>
      <c r="J107" s="6" t="str">
        <f>IF(COUNTIF(PC.TU105.Inp!$C107:$L107,"")=10,"",IF(PC.TU105.Inp!$G107="","NULL",""""&amp;PC.TU105.Inp!$G107&amp;""""))</f>
        <v>NULL</v>
      </c>
      <c r="K107" s="6" t="str">
        <f>IF(COUNTIF(PC.TU105.Inp!$C107:$L107,"")=10,"",IF(PC.TU105.Inp!$H107="","NULL",""""&amp;PC.TU105.Inp!$H107&amp;""""))</f>
        <v>"Menu"</v>
      </c>
      <c r="L107" s="6" t="str">
        <f>IF(COUNTIF(PC.TU105.Inp!$C107:$L107,"")=10,"",IF(PC.TU105.Inp!$I107="","NULL",""""&amp;PC.TU105.Inp!$I107&amp;""""))</f>
        <v>NULL</v>
      </c>
      <c r="M107" s="6" t="str">
        <f>IF(COUNTIF(PC.TU105.Inp!$C107:$L107,"")=10,"",IF(PC.TU105.Inp!$J107="","NULL",""""&amp;PC.TU105.Inp!$J107&amp;""""))</f>
        <v>NULL</v>
      </c>
      <c r="N107" s="6">
        <f>IF(COUNTIF(PC.TU105.Inp!$C107:$L107,"")=10,"",IF(PC.TU105.Inp!$K107="","NULL",PC.TU105.Inp!$K107))</f>
        <v>0</v>
      </c>
      <c r="O107" s="6">
        <f>IF(COUNTIF(PC.TU105.Inp!$C107:$L107,"")=10,"",IF(PC.TU105.Inp!$L107="","NULL",PC.TU105.Inp!$L107))</f>
        <v>0</v>
      </c>
      <c r="P107" s="7" t="e">
        <f ca="1">IF(COUNTIF(PC.TU105.Inp!$C107:$L107,"")=10,"","("&amp;_xlfn.TEXTJOIN(",",FALSE,$C107:$O107)&amp;"),")</f>
        <v>#NAME?</v>
      </c>
    </row>
    <row r="108" spans="1:16" x14ac:dyDescent="0.3">
      <c r="A108" s="1" t="s">
        <v>246</v>
      </c>
      <c r="B108" s="1">
        <f t="shared" si="1"/>
        <v>107</v>
      </c>
    </row>
    <row r="109" spans="1:16" x14ac:dyDescent="0.3">
      <c r="A109" s="1" t="s">
        <v>246</v>
      </c>
      <c r="B109" s="1">
        <f t="shared" si="1"/>
        <v>108</v>
      </c>
    </row>
    <row r="110" spans="1:16" x14ac:dyDescent="0.3">
      <c r="A110" s="1" t="s">
        <v>246</v>
      </c>
      <c r="B110" s="1">
        <f t="shared" si="1"/>
        <v>109</v>
      </c>
    </row>
    <row r="111" spans="1:16" x14ac:dyDescent="0.3">
      <c r="A111" s="1" t="s">
        <v>246</v>
      </c>
      <c r="B111" s="1">
        <f t="shared" si="1"/>
        <v>110</v>
      </c>
    </row>
    <row r="112" spans="1:16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63FED-7B69-4489-A4C6-D04C837781F5}">
  <sheetPr codeName="Sheet5"/>
  <dimension ref="A1:L119"/>
  <sheetViews>
    <sheetView workbookViewId="0">
      <pane xSplit="2" ySplit="1" topLeftCell="C95" activePane="bottomRight" state="frozen"/>
      <selection pane="topRight" activeCell="C1" sqref="C1"/>
      <selection pane="bottomLeft" activeCell="A2" sqref="A2"/>
      <selection pane="bottomRight" activeCell="A108" sqref="A108:B119"/>
    </sheetView>
  </sheetViews>
  <sheetFormatPr defaultRowHeight="14.4" x14ac:dyDescent="0.3"/>
  <sheetData>
    <row r="1" spans="1:12" x14ac:dyDescent="0.3">
      <c r="A1" s="1" t="s">
        <v>153</v>
      </c>
      <c r="B1" s="1" t="s">
        <v>154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</row>
    <row r="2" spans="1:12" x14ac:dyDescent="0.3">
      <c r="A2" s="1" t="s">
        <v>33</v>
      </c>
      <c r="B2" s="1">
        <f t="shared" ref="B2:B65" si="0">ROW(B2)-1</f>
        <v>1</v>
      </c>
      <c r="C2" s="2">
        <v>0</v>
      </c>
      <c r="D2" s="2">
        <v>108</v>
      </c>
      <c r="E2" s="2">
        <v>72</v>
      </c>
      <c r="F2" s="2">
        <v>72</v>
      </c>
      <c r="G2" s="2" t="s">
        <v>93</v>
      </c>
      <c r="H2" s="9" t="s">
        <v>200</v>
      </c>
      <c r="I2" s="2"/>
      <c r="J2" s="2"/>
      <c r="K2" s="2">
        <v>0</v>
      </c>
      <c r="L2" s="2">
        <v>0</v>
      </c>
    </row>
    <row r="3" spans="1:12" x14ac:dyDescent="0.3">
      <c r="A3" s="1">
        <v>1</v>
      </c>
      <c r="B3" s="1">
        <f t="shared" si="0"/>
        <v>2</v>
      </c>
      <c r="C3" s="2">
        <v>72</v>
      </c>
      <c r="D3" s="2">
        <v>108</v>
      </c>
      <c r="E3" s="2">
        <v>72</v>
      </c>
      <c r="F3" s="2">
        <v>72</v>
      </c>
      <c r="G3" s="2" t="s">
        <v>15</v>
      </c>
      <c r="H3" s="2">
        <v>1</v>
      </c>
      <c r="I3" s="2"/>
      <c r="J3" s="2"/>
      <c r="K3" s="2">
        <v>0</v>
      </c>
      <c r="L3" s="2">
        <v>0</v>
      </c>
    </row>
    <row r="4" spans="1:12" x14ac:dyDescent="0.3">
      <c r="A4" s="1">
        <v>2</v>
      </c>
      <c r="B4" s="1">
        <f t="shared" si="0"/>
        <v>3</v>
      </c>
      <c r="C4" s="2">
        <v>144</v>
      </c>
      <c r="D4" s="2">
        <v>108</v>
      </c>
      <c r="E4" s="2">
        <v>72</v>
      </c>
      <c r="F4" s="2">
        <v>72</v>
      </c>
      <c r="G4" s="9" t="s">
        <v>199</v>
      </c>
      <c r="H4" s="2">
        <v>2</v>
      </c>
      <c r="I4" s="2"/>
      <c r="J4" s="2"/>
      <c r="K4" s="2">
        <v>0</v>
      </c>
      <c r="L4" s="2">
        <v>0</v>
      </c>
    </row>
    <row r="5" spans="1:12" x14ac:dyDescent="0.3">
      <c r="A5" s="1">
        <v>3</v>
      </c>
      <c r="B5" s="1">
        <f t="shared" si="0"/>
        <v>4</v>
      </c>
      <c r="C5" s="2">
        <v>216</v>
      </c>
      <c r="D5" s="2">
        <v>108</v>
      </c>
      <c r="E5" s="2">
        <v>72</v>
      </c>
      <c r="F5" s="2">
        <v>72</v>
      </c>
      <c r="G5" s="2" t="s">
        <v>193</v>
      </c>
      <c r="H5" s="2">
        <v>3</v>
      </c>
      <c r="I5" s="2"/>
      <c r="J5" s="2"/>
      <c r="K5" s="2">
        <v>0</v>
      </c>
      <c r="L5" s="2">
        <v>0</v>
      </c>
    </row>
    <row r="6" spans="1:12" x14ac:dyDescent="0.3">
      <c r="A6" s="1">
        <v>4</v>
      </c>
      <c r="B6" s="1">
        <f t="shared" si="0"/>
        <v>5</v>
      </c>
      <c r="C6" s="2">
        <v>288</v>
      </c>
      <c r="D6" s="2">
        <v>108</v>
      </c>
      <c r="E6" s="2">
        <v>72</v>
      </c>
      <c r="F6" s="2">
        <v>72</v>
      </c>
      <c r="G6" s="2" t="s">
        <v>20</v>
      </c>
      <c r="H6" s="2">
        <v>4</v>
      </c>
      <c r="I6" s="2"/>
      <c r="J6" s="2"/>
      <c r="K6" s="2">
        <v>0</v>
      </c>
      <c r="L6" s="2">
        <v>0</v>
      </c>
    </row>
    <row r="7" spans="1:12" x14ac:dyDescent="0.3">
      <c r="A7" s="1">
        <v>5</v>
      </c>
      <c r="B7" s="1">
        <f t="shared" si="0"/>
        <v>6</v>
      </c>
      <c r="C7" s="2">
        <v>360</v>
      </c>
      <c r="D7" s="2">
        <v>108</v>
      </c>
      <c r="E7" s="2">
        <v>72</v>
      </c>
      <c r="F7" s="2">
        <v>72</v>
      </c>
      <c r="G7" s="2" t="s">
        <v>21</v>
      </c>
      <c r="H7" s="2">
        <v>5</v>
      </c>
      <c r="I7" s="2"/>
      <c r="J7" s="2" t="s">
        <v>45</v>
      </c>
      <c r="K7" s="2">
        <v>0</v>
      </c>
      <c r="L7" s="2">
        <v>0</v>
      </c>
    </row>
    <row r="8" spans="1:12" x14ac:dyDescent="0.3">
      <c r="A8" s="1">
        <v>6</v>
      </c>
      <c r="B8" s="1">
        <f t="shared" si="0"/>
        <v>7</v>
      </c>
      <c r="C8" s="2">
        <v>432</v>
      </c>
      <c r="D8" s="2">
        <v>108</v>
      </c>
      <c r="E8" s="2">
        <v>72</v>
      </c>
      <c r="F8" s="2">
        <v>72</v>
      </c>
      <c r="G8" s="2" t="s">
        <v>22</v>
      </c>
      <c r="H8" s="2">
        <v>6</v>
      </c>
      <c r="I8" s="2"/>
      <c r="J8" s="2"/>
      <c r="K8" s="2">
        <v>0</v>
      </c>
      <c r="L8" s="2">
        <v>0</v>
      </c>
    </row>
    <row r="9" spans="1:12" x14ac:dyDescent="0.3">
      <c r="A9" s="1">
        <v>7</v>
      </c>
      <c r="B9" s="1">
        <f t="shared" si="0"/>
        <v>8</v>
      </c>
      <c r="C9" s="2">
        <v>504</v>
      </c>
      <c r="D9" s="2">
        <v>108</v>
      </c>
      <c r="E9" s="2">
        <v>72</v>
      </c>
      <c r="F9" s="2">
        <v>72</v>
      </c>
      <c r="G9" s="2" t="s">
        <v>23</v>
      </c>
      <c r="H9" s="2">
        <v>7</v>
      </c>
      <c r="I9" s="2"/>
      <c r="J9" s="2"/>
      <c r="K9" s="2">
        <v>0</v>
      </c>
      <c r="L9" s="2">
        <v>0</v>
      </c>
    </row>
    <row r="10" spans="1:12" x14ac:dyDescent="0.3">
      <c r="A10" s="1">
        <v>8</v>
      </c>
      <c r="B10" s="1">
        <f t="shared" si="0"/>
        <v>9</v>
      </c>
      <c r="C10" s="2">
        <v>576</v>
      </c>
      <c r="D10" s="2">
        <v>108</v>
      </c>
      <c r="E10" s="2">
        <v>72</v>
      </c>
      <c r="F10" s="2">
        <v>72</v>
      </c>
      <c r="G10" s="2" t="s">
        <v>25</v>
      </c>
      <c r="H10" s="2">
        <v>8</v>
      </c>
      <c r="I10" s="2"/>
      <c r="J10" s="2"/>
      <c r="K10" s="2">
        <v>0</v>
      </c>
      <c r="L10" s="2">
        <v>0</v>
      </c>
    </row>
    <row r="11" spans="1:12" x14ac:dyDescent="0.3">
      <c r="A11" s="1">
        <v>9</v>
      </c>
      <c r="B11" s="1">
        <f t="shared" si="0"/>
        <v>10</v>
      </c>
      <c r="C11" s="2">
        <v>648</v>
      </c>
      <c r="D11" s="2">
        <v>108</v>
      </c>
      <c r="E11" s="2">
        <v>72</v>
      </c>
      <c r="F11" s="2">
        <v>72</v>
      </c>
      <c r="G11" s="2" t="s">
        <v>27</v>
      </c>
      <c r="H11" s="2">
        <v>9</v>
      </c>
      <c r="I11" s="2"/>
      <c r="J11" s="2"/>
      <c r="K11" s="2">
        <v>0</v>
      </c>
      <c r="L11" s="2">
        <v>0</v>
      </c>
    </row>
    <row r="12" spans="1:12" x14ac:dyDescent="0.3">
      <c r="A12" s="1">
        <v>0</v>
      </c>
      <c r="B12" s="1">
        <f t="shared" si="0"/>
        <v>11</v>
      </c>
      <c r="C12" s="2">
        <v>720</v>
      </c>
      <c r="D12" s="2">
        <v>108</v>
      </c>
      <c r="E12" s="2">
        <v>72</v>
      </c>
      <c r="F12" s="2">
        <v>72</v>
      </c>
      <c r="G12" s="2" t="s">
        <v>29</v>
      </c>
      <c r="H12" s="2">
        <v>0</v>
      </c>
      <c r="I12" s="2"/>
      <c r="J12" s="2"/>
      <c r="K12" s="2">
        <v>0</v>
      </c>
      <c r="L12" s="2">
        <v>0</v>
      </c>
    </row>
    <row r="13" spans="1:12" x14ac:dyDescent="0.3">
      <c r="A13" s="1" t="s">
        <v>88</v>
      </c>
      <c r="B13" s="1">
        <f t="shared" si="0"/>
        <v>12</v>
      </c>
      <c r="C13" s="2">
        <v>792</v>
      </c>
      <c r="D13" s="2">
        <v>108</v>
      </c>
      <c r="E13" s="2">
        <v>72</v>
      </c>
      <c r="F13" s="2">
        <v>72</v>
      </c>
      <c r="G13" s="2" t="s">
        <v>31</v>
      </c>
      <c r="H13" s="9" t="s">
        <v>244</v>
      </c>
      <c r="I13" s="2"/>
      <c r="J13" s="2"/>
      <c r="K13" s="2">
        <v>0</v>
      </c>
      <c r="L13" s="2">
        <v>0</v>
      </c>
    </row>
    <row r="14" spans="1:12" x14ac:dyDescent="0.3">
      <c r="A14" s="1" t="s">
        <v>201</v>
      </c>
      <c r="B14" s="1">
        <f t="shared" si="0"/>
        <v>13</v>
      </c>
      <c r="C14" s="2">
        <v>864</v>
      </c>
      <c r="D14" s="2">
        <v>108</v>
      </c>
      <c r="E14" s="2">
        <v>72</v>
      </c>
      <c r="F14" s="2">
        <v>72</v>
      </c>
      <c r="G14" s="2" t="s">
        <v>14</v>
      </c>
      <c r="H14" s="2" t="s">
        <v>201</v>
      </c>
      <c r="I14" s="2"/>
      <c r="J14" s="2"/>
      <c r="K14" s="2">
        <v>0</v>
      </c>
      <c r="L14" s="2">
        <v>0</v>
      </c>
    </row>
    <row r="15" spans="1:12" x14ac:dyDescent="0.3">
      <c r="A15" s="1" t="s">
        <v>163</v>
      </c>
      <c r="B15" s="1">
        <f t="shared" si="0"/>
        <v>14</v>
      </c>
      <c r="C15" s="2">
        <v>936</v>
      </c>
      <c r="D15" s="2">
        <v>108</v>
      </c>
      <c r="E15" s="2">
        <v>144</v>
      </c>
      <c r="F15" s="2">
        <v>72</v>
      </c>
      <c r="G15" s="2"/>
      <c r="H15" s="2" t="s">
        <v>163</v>
      </c>
      <c r="I15" s="2"/>
      <c r="J15" s="2"/>
      <c r="K15" s="2">
        <v>0</v>
      </c>
      <c r="L15" s="2">
        <v>0</v>
      </c>
    </row>
    <row r="16" spans="1:12" x14ac:dyDescent="0.3">
      <c r="A16" s="1" t="s">
        <v>164</v>
      </c>
      <c r="B16" s="1">
        <f t="shared" si="0"/>
        <v>15</v>
      </c>
      <c r="C16" s="2">
        <v>0</v>
      </c>
      <c r="D16" s="2">
        <v>180</v>
      </c>
      <c r="E16" s="2">
        <v>108</v>
      </c>
      <c r="F16" s="2">
        <v>72</v>
      </c>
      <c r="G16" s="2"/>
      <c r="H16" s="2" t="s">
        <v>164</v>
      </c>
      <c r="I16" s="2"/>
      <c r="J16" s="2"/>
      <c r="K16" s="2">
        <v>0</v>
      </c>
      <c r="L16" s="2">
        <v>0</v>
      </c>
    </row>
    <row r="17" spans="1:12" x14ac:dyDescent="0.3">
      <c r="A17" s="1" t="s">
        <v>39</v>
      </c>
      <c r="B17" s="1">
        <f t="shared" si="0"/>
        <v>16</v>
      </c>
      <c r="C17" s="2">
        <v>108</v>
      </c>
      <c r="D17" s="2">
        <v>180</v>
      </c>
      <c r="E17" s="2">
        <v>72</v>
      </c>
      <c r="F17" s="2">
        <v>72</v>
      </c>
      <c r="G17" s="2" t="s">
        <v>38</v>
      </c>
      <c r="H17" s="2" t="s">
        <v>39</v>
      </c>
      <c r="I17" s="2"/>
      <c r="J17" s="2"/>
      <c r="K17" s="2">
        <v>1</v>
      </c>
      <c r="L17" s="2">
        <v>0</v>
      </c>
    </row>
    <row r="18" spans="1:12" x14ac:dyDescent="0.3">
      <c r="A18" s="1" t="s">
        <v>42</v>
      </c>
      <c r="B18" s="1">
        <f t="shared" si="0"/>
        <v>17</v>
      </c>
      <c r="C18" s="2">
        <v>180</v>
      </c>
      <c r="D18" s="2">
        <v>180</v>
      </c>
      <c r="E18" s="2">
        <v>72</v>
      </c>
      <c r="F18" s="2">
        <v>72</v>
      </c>
      <c r="G18" s="2" t="s">
        <v>41</v>
      </c>
      <c r="H18" s="2" t="s">
        <v>42</v>
      </c>
      <c r="I18" s="2"/>
      <c r="J18" s="2"/>
      <c r="K18" s="2">
        <v>1</v>
      </c>
      <c r="L18" s="2">
        <v>0</v>
      </c>
    </row>
    <row r="19" spans="1:12" x14ac:dyDescent="0.3">
      <c r="A19" s="1" t="s">
        <v>44</v>
      </c>
      <c r="B19" s="1">
        <f t="shared" si="0"/>
        <v>18</v>
      </c>
      <c r="C19" s="2">
        <v>252</v>
      </c>
      <c r="D19" s="2">
        <v>180</v>
      </c>
      <c r="E19" s="2">
        <v>72</v>
      </c>
      <c r="F19" s="2">
        <v>72</v>
      </c>
      <c r="G19" s="2" t="s">
        <v>43</v>
      </c>
      <c r="H19" s="2" t="s">
        <v>44</v>
      </c>
      <c r="I19" s="2"/>
      <c r="J19" s="2" t="s">
        <v>45</v>
      </c>
      <c r="K19" s="2">
        <v>1</v>
      </c>
      <c r="L19" s="2">
        <v>0</v>
      </c>
    </row>
    <row r="20" spans="1:12" x14ac:dyDescent="0.3">
      <c r="A20" s="1" t="s">
        <v>47</v>
      </c>
      <c r="B20" s="1">
        <f t="shared" si="0"/>
        <v>19</v>
      </c>
      <c r="C20" s="2">
        <v>324</v>
      </c>
      <c r="D20" s="2">
        <v>180</v>
      </c>
      <c r="E20" s="2">
        <v>72</v>
      </c>
      <c r="F20" s="2">
        <v>72</v>
      </c>
      <c r="G20" s="2" t="s">
        <v>46</v>
      </c>
      <c r="H20" s="2" t="s">
        <v>47</v>
      </c>
      <c r="I20" s="2"/>
      <c r="J20" s="2"/>
      <c r="K20" s="2">
        <v>1</v>
      </c>
      <c r="L20" s="2">
        <v>0</v>
      </c>
    </row>
    <row r="21" spans="1:12" x14ac:dyDescent="0.3">
      <c r="A21" s="1" t="s">
        <v>49</v>
      </c>
      <c r="B21" s="1">
        <f t="shared" si="0"/>
        <v>20</v>
      </c>
      <c r="C21" s="2">
        <v>396</v>
      </c>
      <c r="D21" s="2">
        <v>180</v>
      </c>
      <c r="E21" s="2">
        <v>72</v>
      </c>
      <c r="F21" s="2">
        <v>72</v>
      </c>
      <c r="G21" s="2" t="s">
        <v>48</v>
      </c>
      <c r="H21" s="2" t="s">
        <v>49</v>
      </c>
      <c r="I21" s="2"/>
      <c r="J21" s="2"/>
      <c r="K21" s="2">
        <v>1</v>
      </c>
      <c r="L21" s="2">
        <v>0</v>
      </c>
    </row>
    <row r="22" spans="1:12" x14ac:dyDescent="0.3">
      <c r="A22" s="1" t="s">
        <v>51</v>
      </c>
      <c r="B22" s="1">
        <f t="shared" si="0"/>
        <v>21</v>
      </c>
      <c r="C22" s="2">
        <v>468</v>
      </c>
      <c r="D22" s="2">
        <v>180</v>
      </c>
      <c r="E22" s="2">
        <v>72</v>
      </c>
      <c r="F22" s="2">
        <v>72</v>
      </c>
      <c r="G22" s="2" t="s">
        <v>50</v>
      </c>
      <c r="H22" s="2" t="s">
        <v>51</v>
      </c>
      <c r="I22" s="2"/>
      <c r="J22" s="2"/>
      <c r="K22" s="2">
        <v>1</v>
      </c>
      <c r="L22" s="2">
        <v>0</v>
      </c>
    </row>
    <row r="23" spans="1:12" x14ac:dyDescent="0.3">
      <c r="A23" s="1" t="s">
        <v>53</v>
      </c>
      <c r="B23" s="1">
        <f t="shared" si="0"/>
        <v>22</v>
      </c>
      <c r="C23" s="2">
        <v>540</v>
      </c>
      <c r="D23" s="2">
        <v>180</v>
      </c>
      <c r="E23" s="2">
        <v>72</v>
      </c>
      <c r="F23" s="2">
        <v>72</v>
      </c>
      <c r="G23" s="2" t="s">
        <v>52</v>
      </c>
      <c r="H23" s="2" t="s">
        <v>53</v>
      </c>
      <c r="I23" s="2"/>
      <c r="J23" s="2"/>
      <c r="K23" s="2">
        <v>1</v>
      </c>
      <c r="L23" s="2">
        <v>0</v>
      </c>
    </row>
    <row r="24" spans="1:12" x14ac:dyDescent="0.3">
      <c r="A24" s="1" t="s">
        <v>184</v>
      </c>
      <c r="B24" s="1">
        <f t="shared" si="0"/>
        <v>23</v>
      </c>
      <c r="C24" s="2">
        <v>612</v>
      </c>
      <c r="D24" s="2">
        <v>180</v>
      </c>
      <c r="E24" s="2">
        <v>72</v>
      </c>
      <c r="F24" s="2">
        <v>72</v>
      </c>
      <c r="G24" s="2" t="s">
        <v>54</v>
      </c>
      <c r="H24" s="2" t="s">
        <v>55</v>
      </c>
      <c r="I24" s="2"/>
      <c r="J24" s="2"/>
      <c r="K24" s="2">
        <v>1</v>
      </c>
      <c r="L24" s="2">
        <v>0</v>
      </c>
    </row>
    <row r="25" spans="1:12" x14ac:dyDescent="0.3">
      <c r="A25" s="1" t="s">
        <v>57</v>
      </c>
      <c r="B25" s="1">
        <f t="shared" si="0"/>
        <v>24</v>
      </c>
      <c r="C25" s="2">
        <v>684</v>
      </c>
      <c r="D25" s="2">
        <v>180</v>
      </c>
      <c r="E25" s="2">
        <v>72</v>
      </c>
      <c r="F25" s="2">
        <v>72</v>
      </c>
      <c r="G25" s="2" t="s">
        <v>56</v>
      </c>
      <c r="H25" s="2" t="s">
        <v>57</v>
      </c>
      <c r="I25" s="2"/>
      <c r="J25" s="2"/>
      <c r="K25" s="2">
        <v>1</v>
      </c>
      <c r="L25" s="2">
        <v>0</v>
      </c>
    </row>
    <row r="26" spans="1:12" x14ac:dyDescent="0.3">
      <c r="A26" s="1" t="s">
        <v>59</v>
      </c>
      <c r="B26" s="1">
        <f t="shared" si="0"/>
        <v>25</v>
      </c>
      <c r="C26" s="2">
        <v>756</v>
      </c>
      <c r="D26" s="2">
        <v>180</v>
      </c>
      <c r="E26" s="2">
        <v>72</v>
      </c>
      <c r="F26" s="2">
        <v>72</v>
      </c>
      <c r="G26" s="2" t="s">
        <v>58</v>
      </c>
      <c r="H26" s="2" t="s">
        <v>59</v>
      </c>
      <c r="I26" s="2"/>
      <c r="J26" s="2"/>
      <c r="K26" s="2">
        <v>1</v>
      </c>
      <c r="L26" s="2">
        <v>0</v>
      </c>
    </row>
    <row r="27" spans="1:12" x14ac:dyDescent="0.3">
      <c r="A27" s="1" t="s">
        <v>202</v>
      </c>
      <c r="B27" s="1">
        <f t="shared" si="0"/>
        <v>26</v>
      </c>
      <c r="C27" s="2">
        <v>828</v>
      </c>
      <c r="D27" s="2">
        <v>180</v>
      </c>
      <c r="E27" s="2">
        <v>72</v>
      </c>
      <c r="F27" s="2">
        <v>72</v>
      </c>
      <c r="G27" s="2" t="s">
        <v>187</v>
      </c>
      <c r="H27" s="2" t="s">
        <v>202</v>
      </c>
      <c r="I27" s="2" t="s">
        <v>24</v>
      </c>
      <c r="J27" s="2" t="s">
        <v>26</v>
      </c>
      <c r="K27" s="2" t="s">
        <v>215</v>
      </c>
      <c r="L27" s="2">
        <v>0</v>
      </c>
    </row>
    <row r="28" spans="1:12" x14ac:dyDescent="0.3">
      <c r="A28" s="1" t="s">
        <v>63</v>
      </c>
      <c r="B28" s="1">
        <f t="shared" si="0"/>
        <v>27</v>
      </c>
      <c r="C28" s="2">
        <v>900</v>
      </c>
      <c r="D28" s="2">
        <v>180</v>
      </c>
      <c r="E28" s="2">
        <v>72</v>
      </c>
      <c r="F28" s="2">
        <v>72</v>
      </c>
      <c r="G28" s="2" t="s">
        <v>62</v>
      </c>
      <c r="H28" s="2" t="s">
        <v>63</v>
      </c>
      <c r="I28" s="2" t="s">
        <v>30</v>
      </c>
      <c r="J28" s="2" t="s">
        <v>28</v>
      </c>
      <c r="K28" s="2">
        <v>0</v>
      </c>
      <c r="L28" s="2">
        <v>0</v>
      </c>
    </row>
    <row r="29" spans="1:12" x14ac:dyDescent="0.3">
      <c r="A29" s="1" t="s">
        <v>246</v>
      </c>
      <c r="B29" s="1">
        <f t="shared" si="0"/>
        <v>28</v>
      </c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1" t="s">
        <v>166</v>
      </c>
      <c r="B30" s="1">
        <f t="shared" si="0"/>
        <v>29</v>
      </c>
      <c r="C30" s="2">
        <v>0</v>
      </c>
      <c r="D30" s="2">
        <v>252</v>
      </c>
      <c r="E30" s="2">
        <v>126</v>
      </c>
      <c r="F30" s="2">
        <v>72</v>
      </c>
      <c r="G30" s="2"/>
      <c r="H30" s="2" t="s">
        <v>166</v>
      </c>
      <c r="I30" s="2"/>
      <c r="J30" s="2"/>
      <c r="K30" s="2">
        <v>0</v>
      </c>
      <c r="L30" s="2">
        <v>0</v>
      </c>
    </row>
    <row r="31" spans="1:12" x14ac:dyDescent="0.3">
      <c r="A31" s="1" t="s">
        <v>67</v>
      </c>
      <c r="B31" s="1">
        <f t="shared" si="0"/>
        <v>30</v>
      </c>
      <c r="C31" s="2">
        <v>126</v>
      </c>
      <c r="D31" s="2">
        <v>252</v>
      </c>
      <c r="E31" s="2">
        <v>72</v>
      </c>
      <c r="F31" s="2">
        <v>72</v>
      </c>
      <c r="G31" s="2" t="s">
        <v>66</v>
      </c>
      <c r="H31" s="2" t="s">
        <v>67</v>
      </c>
      <c r="I31" s="2"/>
      <c r="J31" s="2"/>
      <c r="K31" s="2">
        <v>1</v>
      </c>
      <c r="L31" s="2">
        <v>0</v>
      </c>
    </row>
    <row r="32" spans="1:12" x14ac:dyDescent="0.3">
      <c r="A32" s="1" t="s">
        <v>69</v>
      </c>
      <c r="B32" s="1">
        <f t="shared" si="0"/>
        <v>31</v>
      </c>
      <c r="C32" s="2">
        <v>198</v>
      </c>
      <c r="D32" s="2">
        <v>252</v>
      </c>
      <c r="E32" s="2">
        <v>72</v>
      </c>
      <c r="F32" s="2">
        <v>72</v>
      </c>
      <c r="G32" s="2" t="s">
        <v>68</v>
      </c>
      <c r="H32" s="2" t="s">
        <v>69</v>
      </c>
      <c r="I32" s="2"/>
      <c r="J32" s="2"/>
      <c r="K32" s="2">
        <v>1</v>
      </c>
      <c r="L32" s="2">
        <v>0</v>
      </c>
    </row>
    <row r="33" spans="1:12" x14ac:dyDescent="0.3">
      <c r="A33" s="1" t="s">
        <v>71</v>
      </c>
      <c r="B33" s="1">
        <f t="shared" si="0"/>
        <v>32</v>
      </c>
      <c r="C33" s="2">
        <v>270</v>
      </c>
      <c r="D33" s="2">
        <v>252</v>
      </c>
      <c r="E33" s="2">
        <v>72</v>
      </c>
      <c r="F33" s="2">
        <v>72</v>
      </c>
      <c r="G33" s="2" t="s">
        <v>70</v>
      </c>
      <c r="H33" s="2" t="s">
        <v>71</v>
      </c>
      <c r="I33" s="2"/>
      <c r="J33" s="2"/>
      <c r="K33" s="2">
        <v>1</v>
      </c>
      <c r="L33" s="2">
        <v>0</v>
      </c>
    </row>
    <row r="34" spans="1:12" x14ac:dyDescent="0.3">
      <c r="A34" s="1" t="s">
        <v>73</v>
      </c>
      <c r="B34" s="1">
        <f t="shared" si="0"/>
        <v>33</v>
      </c>
      <c r="C34" s="2">
        <v>342</v>
      </c>
      <c r="D34" s="2">
        <v>252</v>
      </c>
      <c r="E34" s="2">
        <v>72</v>
      </c>
      <c r="F34" s="2">
        <v>72</v>
      </c>
      <c r="G34" s="2" t="s">
        <v>72</v>
      </c>
      <c r="H34" s="2" t="s">
        <v>73</v>
      </c>
      <c r="I34" s="2"/>
      <c r="J34" s="2"/>
      <c r="K34" s="2">
        <v>1</v>
      </c>
      <c r="L34" s="2">
        <v>0</v>
      </c>
    </row>
    <row r="35" spans="1:12" x14ac:dyDescent="0.3">
      <c r="A35" s="1" t="s">
        <v>75</v>
      </c>
      <c r="B35" s="1">
        <f t="shared" si="0"/>
        <v>34</v>
      </c>
      <c r="C35" s="2">
        <v>414</v>
      </c>
      <c r="D35" s="2">
        <v>252</v>
      </c>
      <c r="E35" s="2">
        <v>72</v>
      </c>
      <c r="F35" s="2">
        <v>72</v>
      </c>
      <c r="G35" s="2" t="s">
        <v>74</v>
      </c>
      <c r="H35" s="2" t="s">
        <v>75</v>
      </c>
      <c r="I35" s="2"/>
      <c r="J35" s="2"/>
      <c r="K35" s="2">
        <v>1</v>
      </c>
      <c r="L35" s="2">
        <v>0</v>
      </c>
    </row>
    <row r="36" spans="1:12" x14ac:dyDescent="0.3">
      <c r="A36" s="1" t="s">
        <v>77</v>
      </c>
      <c r="B36" s="1">
        <f t="shared" si="0"/>
        <v>35</v>
      </c>
      <c r="C36" s="2">
        <v>486</v>
      </c>
      <c r="D36" s="2">
        <v>252</v>
      </c>
      <c r="E36" s="2">
        <v>72</v>
      </c>
      <c r="F36" s="2">
        <v>72</v>
      </c>
      <c r="G36" s="2" t="s">
        <v>76</v>
      </c>
      <c r="H36" s="2" t="s">
        <v>77</v>
      </c>
      <c r="I36" s="2"/>
      <c r="J36" s="2"/>
      <c r="K36" s="2">
        <v>1</v>
      </c>
      <c r="L36" s="2">
        <v>0</v>
      </c>
    </row>
    <row r="37" spans="1:12" x14ac:dyDescent="0.3">
      <c r="A37" s="1" t="s">
        <v>79</v>
      </c>
      <c r="B37" s="1">
        <f t="shared" si="0"/>
        <v>36</v>
      </c>
      <c r="C37" s="2">
        <v>558</v>
      </c>
      <c r="D37" s="2">
        <v>252</v>
      </c>
      <c r="E37" s="2">
        <v>72</v>
      </c>
      <c r="F37" s="2">
        <v>72</v>
      </c>
      <c r="G37" s="2" t="s">
        <v>78</v>
      </c>
      <c r="H37" s="2" t="s">
        <v>79</v>
      </c>
      <c r="I37" s="2"/>
      <c r="J37" s="2"/>
      <c r="K37" s="2">
        <v>1</v>
      </c>
      <c r="L37" s="2">
        <v>0</v>
      </c>
    </row>
    <row r="38" spans="1:12" x14ac:dyDescent="0.3">
      <c r="A38" s="1" t="s">
        <v>81</v>
      </c>
      <c r="B38" s="1">
        <f t="shared" si="0"/>
        <v>37</v>
      </c>
      <c r="C38" s="2">
        <v>630</v>
      </c>
      <c r="D38" s="2">
        <v>252</v>
      </c>
      <c r="E38" s="2">
        <v>72</v>
      </c>
      <c r="F38" s="2">
        <v>72</v>
      </c>
      <c r="G38" s="2" t="s">
        <v>80</v>
      </c>
      <c r="H38" s="2" t="s">
        <v>81</v>
      </c>
      <c r="I38" s="2"/>
      <c r="J38" s="2"/>
      <c r="K38" s="2">
        <v>1</v>
      </c>
      <c r="L38" s="2">
        <v>0</v>
      </c>
    </row>
    <row r="39" spans="1:12" x14ac:dyDescent="0.3">
      <c r="A39" s="1" t="s">
        <v>83</v>
      </c>
      <c r="B39" s="1">
        <f t="shared" si="0"/>
        <v>38</v>
      </c>
      <c r="C39" s="2">
        <v>702</v>
      </c>
      <c r="D39" s="2">
        <v>252</v>
      </c>
      <c r="E39" s="2">
        <v>72</v>
      </c>
      <c r="F39" s="2">
        <v>72</v>
      </c>
      <c r="G39" s="2" t="s">
        <v>82</v>
      </c>
      <c r="H39" s="2" t="s">
        <v>83</v>
      </c>
      <c r="I39" s="2"/>
      <c r="J39" s="2"/>
      <c r="K39" s="2">
        <v>1</v>
      </c>
      <c r="L39" s="2">
        <v>0</v>
      </c>
    </row>
    <row r="40" spans="1:12" x14ac:dyDescent="0.3">
      <c r="A40" s="1" t="s">
        <v>203</v>
      </c>
      <c r="B40" s="1">
        <f t="shared" si="0"/>
        <v>39</v>
      </c>
      <c r="C40" s="2">
        <v>774</v>
      </c>
      <c r="D40" s="2">
        <v>252</v>
      </c>
      <c r="E40" s="2">
        <v>72</v>
      </c>
      <c r="F40" s="2">
        <v>72</v>
      </c>
      <c r="G40" s="2" t="s">
        <v>185</v>
      </c>
      <c r="H40" s="2" t="s">
        <v>203</v>
      </c>
      <c r="I40" s="2"/>
      <c r="J40" s="2" t="s">
        <v>40</v>
      </c>
      <c r="K40" s="2" t="s">
        <v>215</v>
      </c>
      <c r="L40" s="2">
        <v>0</v>
      </c>
    </row>
    <row r="41" spans="1:12" x14ac:dyDescent="0.3">
      <c r="A41" s="1" t="s">
        <v>204</v>
      </c>
      <c r="B41" s="1">
        <f t="shared" si="0"/>
        <v>40</v>
      </c>
      <c r="C41" s="2">
        <v>846</v>
      </c>
      <c r="D41" s="2">
        <v>252</v>
      </c>
      <c r="E41" s="2">
        <v>72</v>
      </c>
      <c r="F41" s="2">
        <v>72</v>
      </c>
      <c r="G41" s="2" t="s">
        <v>13</v>
      </c>
      <c r="H41" s="2" t="s">
        <v>204</v>
      </c>
      <c r="I41" s="2"/>
      <c r="J41" s="2" t="s">
        <v>16</v>
      </c>
      <c r="K41" s="2" t="s">
        <v>215</v>
      </c>
      <c r="L41" s="2">
        <v>0</v>
      </c>
    </row>
    <row r="42" spans="1:12" x14ac:dyDescent="0.3">
      <c r="A42" s="1" t="s">
        <v>205</v>
      </c>
      <c r="B42" s="1">
        <f t="shared" si="0"/>
        <v>41</v>
      </c>
      <c r="C42" s="2">
        <v>918</v>
      </c>
      <c r="D42" s="2">
        <v>252</v>
      </c>
      <c r="E42" s="2">
        <v>72</v>
      </c>
      <c r="F42" s="2">
        <v>72</v>
      </c>
      <c r="G42" s="2" t="s">
        <v>18</v>
      </c>
      <c r="H42" s="2" t="s">
        <v>205</v>
      </c>
      <c r="I42" s="2"/>
      <c r="J42" s="2"/>
      <c r="K42" s="2">
        <v>0</v>
      </c>
      <c r="L42" s="2">
        <v>0</v>
      </c>
    </row>
    <row r="43" spans="1:12" x14ac:dyDescent="0.3">
      <c r="A43" s="1" t="s">
        <v>167</v>
      </c>
      <c r="B43" s="1">
        <f t="shared" si="0"/>
        <v>42</v>
      </c>
      <c r="C43" s="2">
        <v>990</v>
      </c>
      <c r="D43" s="2">
        <v>180</v>
      </c>
      <c r="E43" s="2">
        <v>90</v>
      </c>
      <c r="F43" s="2">
        <v>144</v>
      </c>
      <c r="G43" s="2"/>
      <c r="H43" s="2" t="s">
        <v>167</v>
      </c>
      <c r="I43" s="2"/>
      <c r="J43" s="2"/>
      <c r="K43" s="2">
        <v>0</v>
      </c>
      <c r="L43" s="2">
        <v>0</v>
      </c>
    </row>
    <row r="44" spans="1:12" x14ac:dyDescent="0.3">
      <c r="A44" s="1" t="s">
        <v>168</v>
      </c>
      <c r="B44" s="1">
        <f t="shared" si="0"/>
        <v>43</v>
      </c>
      <c r="C44" s="2">
        <v>0</v>
      </c>
      <c r="D44" s="2">
        <v>324</v>
      </c>
      <c r="E44" s="2">
        <v>90</v>
      </c>
      <c r="F44" s="2">
        <v>72</v>
      </c>
      <c r="G44" s="2"/>
      <c r="H44" s="2" t="s">
        <v>168</v>
      </c>
      <c r="I44" s="2"/>
      <c r="J44" s="2"/>
      <c r="K44" s="2">
        <v>0</v>
      </c>
      <c r="L44" s="2">
        <v>0</v>
      </c>
    </row>
    <row r="45" spans="1:12" x14ac:dyDescent="0.3">
      <c r="A45" s="1" t="s">
        <v>92</v>
      </c>
      <c r="B45" s="1">
        <f t="shared" si="0"/>
        <v>44</v>
      </c>
      <c r="C45" s="2">
        <v>90</v>
      </c>
      <c r="D45" s="2">
        <v>324</v>
      </c>
      <c r="E45" s="2">
        <v>72</v>
      </c>
      <c r="F45" s="2">
        <v>72</v>
      </c>
      <c r="G45" s="2" t="s">
        <v>91</v>
      </c>
      <c r="H45" s="2" t="s">
        <v>92</v>
      </c>
      <c r="I45" s="2"/>
      <c r="J45" s="2"/>
      <c r="K45" s="2">
        <v>0</v>
      </c>
      <c r="L45" s="2">
        <v>0</v>
      </c>
    </row>
    <row r="46" spans="1:12" x14ac:dyDescent="0.3">
      <c r="A46" s="1" t="s">
        <v>51</v>
      </c>
      <c r="B46" s="1">
        <f t="shared" si="0"/>
        <v>45</v>
      </c>
      <c r="C46" s="2">
        <v>162</v>
      </c>
      <c r="D46" s="2">
        <v>324</v>
      </c>
      <c r="E46" s="2">
        <v>72</v>
      </c>
      <c r="F46" s="2">
        <v>72</v>
      </c>
      <c r="G46" s="2" t="s">
        <v>50</v>
      </c>
      <c r="H46" s="2" t="s">
        <v>51</v>
      </c>
      <c r="I46" s="2"/>
      <c r="J46" s="2"/>
      <c r="K46" s="2">
        <v>1</v>
      </c>
      <c r="L46" s="2">
        <v>0</v>
      </c>
    </row>
    <row r="47" spans="1:12" x14ac:dyDescent="0.3">
      <c r="A47" s="1" t="s">
        <v>97</v>
      </c>
      <c r="B47" s="1">
        <f t="shared" si="0"/>
        <v>46</v>
      </c>
      <c r="C47" s="2">
        <v>234</v>
      </c>
      <c r="D47" s="2">
        <v>324</v>
      </c>
      <c r="E47" s="2">
        <v>72</v>
      </c>
      <c r="F47" s="2">
        <v>72</v>
      </c>
      <c r="G47" s="2" t="s">
        <v>96</v>
      </c>
      <c r="H47" s="2" t="s">
        <v>97</v>
      </c>
      <c r="I47" s="2"/>
      <c r="J47" s="2"/>
      <c r="K47" s="2">
        <v>1</v>
      </c>
      <c r="L47" s="2">
        <v>0</v>
      </c>
    </row>
    <row r="48" spans="1:12" x14ac:dyDescent="0.3">
      <c r="A48" s="1" t="s">
        <v>99</v>
      </c>
      <c r="B48" s="1">
        <f t="shared" si="0"/>
        <v>47</v>
      </c>
      <c r="C48" s="2">
        <v>306</v>
      </c>
      <c r="D48" s="2">
        <v>324</v>
      </c>
      <c r="E48" s="2">
        <v>72</v>
      </c>
      <c r="F48" s="2">
        <v>72</v>
      </c>
      <c r="G48" s="2" t="s">
        <v>98</v>
      </c>
      <c r="H48" s="2" t="s">
        <v>99</v>
      </c>
      <c r="I48" s="2"/>
      <c r="J48" s="2"/>
      <c r="K48" s="2">
        <v>1</v>
      </c>
      <c r="L48" s="2">
        <v>0</v>
      </c>
    </row>
    <row r="49" spans="1:12" x14ac:dyDescent="0.3">
      <c r="A49" s="1" t="s">
        <v>101</v>
      </c>
      <c r="B49" s="1">
        <f t="shared" si="0"/>
        <v>48</v>
      </c>
      <c r="C49" s="2">
        <v>378</v>
      </c>
      <c r="D49" s="2">
        <v>324</v>
      </c>
      <c r="E49" s="2">
        <v>72</v>
      </c>
      <c r="F49" s="2">
        <v>72</v>
      </c>
      <c r="G49" s="2" t="s">
        <v>100</v>
      </c>
      <c r="H49" s="2" t="s">
        <v>101</v>
      </c>
      <c r="I49" s="2"/>
      <c r="J49" s="2"/>
      <c r="K49" s="2">
        <v>1</v>
      </c>
      <c r="L49" s="2">
        <v>0</v>
      </c>
    </row>
    <row r="50" spans="1:12" x14ac:dyDescent="0.3">
      <c r="A50" s="1" t="s">
        <v>103</v>
      </c>
      <c r="B50" s="1">
        <f t="shared" si="0"/>
        <v>49</v>
      </c>
      <c r="C50" s="2">
        <v>450</v>
      </c>
      <c r="D50" s="2">
        <v>324</v>
      </c>
      <c r="E50" s="2">
        <v>72</v>
      </c>
      <c r="F50" s="2">
        <v>72</v>
      </c>
      <c r="G50" s="2" t="s">
        <v>102</v>
      </c>
      <c r="H50" s="2" t="s">
        <v>103</v>
      </c>
      <c r="I50" s="2"/>
      <c r="J50" s="2"/>
      <c r="K50" s="2">
        <v>1</v>
      </c>
      <c r="L50" s="2">
        <v>0</v>
      </c>
    </row>
    <row r="51" spans="1:12" x14ac:dyDescent="0.3">
      <c r="A51" s="1" t="s">
        <v>105</v>
      </c>
      <c r="B51" s="1">
        <f t="shared" si="0"/>
        <v>50</v>
      </c>
      <c r="C51" s="2">
        <v>522</v>
      </c>
      <c r="D51" s="2">
        <v>324</v>
      </c>
      <c r="E51" s="2">
        <v>72</v>
      </c>
      <c r="F51" s="2">
        <v>72</v>
      </c>
      <c r="G51" s="2" t="s">
        <v>104</v>
      </c>
      <c r="H51" s="2" t="s">
        <v>105</v>
      </c>
      <c r="I51" s="2"/>
      <c r="J51" s="2"/>
      <c r="K51" s="2">
        <v>1</v>
      </c>
      <c r="L51" s="2">
        <v>0</v>
      </c>
    </row>
    <row r="52" spans="1:12" x14ac:dyDescent="0.3">
      <c r="A52" s="1" t="s">
        <v>107</v>
      </c>
      <c r="B52" s="1">
        <f t="shared" si="0"/>
        <v>51</v>
      </c>
      <c r="C52" s="2">
        <v>594</v>
      </c>
      <c r="D52" s="2">
        <v>324</v>
      </c>
      <c r="E52" s="2">
        <v>72</v>
      </c>
      <c r="F52" s="2">
        <v>72</v>
      </c>
      <c r="G52" s="2" t="s">
        <v>106</v>
      </c>
      <c r="H52" s="2" t="s">
        <v>107</v>
      </c>
      <c r="I52" s="2"/>
      <c r="J52" s="2"/>
      <c r="K52" s="2">
        <v>1</v>
      </c>
      <c r="L52" s="2">
        <v>0</v>
      </c>
    </row>
    <row r="53" spans="1:12" x14ac:dyDescent="0.3">
      <c r="A53" s="1" t="s">
        <v>110</v>
      </c>
      <c r="B53" s="1">
        <f t="shared" si="0"/>
        <v>52</v>
      </c>
      <c r="C53" s="2">
        <v>666</v>
      </c>
      <c r="D53" s="2">
        <v>324</v>
      </c>
      <c r="E53" s="2">
        <v>72</v>
      </c>
      <c r="F53" s="2">
        <v>72</v>
      </c>
      <c r="G53" s="2" t="s">
        <v>109</v>
      </c>
      <c r="H53" s="2" t="s">
        <v>110</v>
      </c>
      <c r="I53" s="2"/>
      <c r="J53" s="2"/>
      <c r="K53" s="2">
        <v>0</v>
      </c>
      <c r="L53" s="2">
        <v>0</v>
      </c>
    </row>
    <row r="54" spans="1:12" x14ac:dyDescent="0.3">
      <c r="A54" s="1" t="s">
        <v>112</v>
      </c>
      <c r="B54" s="1">
        <f t="shared" si="0"/>
        <v>53</v>
      </c>
      <c r="C54" s="2">
        <v>738</v>
      </c>
      <c r="D54" s="2">
        <v>324</v>
      </c>
      <c r="E54" s="2">
        <v>72</v>
      </c>
      <c r="F54" s="2">
        <v>72</v>
      </c>
      <c r="G54" s="2" t="s">
        <v>111</v>
      </c>
      <c r="H54" s="2" t="s">
        <v>112</v>
      </c>
      <c r="I54" s="2"/>
      <c r="J54" s="2"/>
      <c r="K54" s="2">
        <v>0</v>
      </c>
      <c r="L54" s="2">
        <v>0</v>
      </c>
    </row>
    <row r="55" spans="1:12" x14ac:dyDescent="0.3">
      <c r="A55" s="1" t="s">
        <v>114</v>
      </c>
      <c r="B55" s="1">
        <f t="shared" si="0"/>
        <v>54</v>
      </c>
      <c r="C55" s="2">
        <v>810</v>
      </c>
      <c r="D55" s="2">
        <v>324</v>
      </c>
      <c r="E55" s="2">
        <v>72</v>
      </c>
      <c r="F55" s="2">
        <v>72</v>
      </c>
      <c r="G55" s="2" t="s">
        <v>113</v>
      </c>
      <c r="H55" s="2" t="s">
        <v>114</v>
      </c>
      <c r="I55" s="2"/>
      <c r="J55" s="2"/>
      <c r="K55" s="2">
        <v>0</v>
      </c>
      <c r="L55" s="2">
        <v>0</v>
      </c>
    </row>
    <row r="56" spans="1:12" x14ac:dyDescent="0.3">
      <c r="A56" s="1" t="s">
        <v>169</v>
      </c>
      <c r="B56" s="1">
        <f t="shared" si="0"/>
        <v>55</v>
      </c>
      <c r="C56" s="2">
        <v>882</v>
      </c>
      <c r="D56" s="2">
        <v>324</v>
      </c>
      <c r="E56" s="2">
        <v>198</v>
      </c>
      <c r="F56" s="2">
        <v>72</v>
      </c>
      <c r="G56" s="2"/>
      <c r="H56" s="2" t="s">
        <v>169</v>
      </c>
      <c r="I56" s="2"/>
      <c r="J56" s="2"/>
      <c r="K56" s="2">
        <v>0</v>
      </c>
      <c r="L56" s="2">
        <v>0</v>
      </c>
    </row>
    <row r="57" spans="1:12" x14ac:dyDescent="0.3">
      <c r="A57" s="1" t="s">
        <v>170</v>
      </c>
      <c r="B57" s="1">
        <f t="shared" si="0"/>
        <v>56</v>
      </c>
      <c r="C57" s="2">
        <v>0</v>
      </c>
      <c r="D57" s="2">
        <v>396</v>
      </c>
      <c r="E57" s="2">
        <v>90</v>
      </c>
      <c r="F57" s="2">
        <v>72</v>
      </c>
      <c r="G57" s="2"/>
      <c r="H57" s="2" t="s">
        <v>170</v>
      </c>
      <c r="I57" s="2"/>
      <c r="J57" s="2"/>
      <c r="K57" s="2">
        <v>0</v>
      </c>
      <c r="L57" s="2">
        <v>0</v>
      </c>
    </row>
    <row r="58" spans="1:12" x14ac:dyDescent="0.3">
      <c r="A58" s="1" t="s">
        <v>117</v>
      </c>
      <c r="B58" s="1">
        <f t="shared" si="0"/>
        <v>57</v>
      </c>
      <c r="C58" s="2">
        <v>180</v>
      </c>
      <c r="D58" s="2">
        <v>396</v>
      </c>
      <c r="E58" s="2">
        <v>90</v>
      </c>
      <c r="F58" s="2">
        <v>72</v>
      </c>
      <c r="G58" s="2"/>
      <c r="H58" s="2" t="s">
        <v>117</v>
      </c>
      <c r="I58" s="2"/>
      <c r="J58" s="2"/>
      <c r="K58" s="2">
        <v>0</v>
      </c>
      <c r="L58" s="2">
        <v>0</v>
      </c>
    </row>
    <row r="59" spans="1:12" x14ac:dyDescent="0.3">
      <c r="A59" s="1" t="s">
        <v>186</v>
      </c>
      <c r="B59" s="1">
        <f t="shared" si="0"/>
        <v>58</v>
      </c>
      <c r="C59" s="2">
        <v>270</v>
      </c>
      <c r="D59" s="2">
        <v>396</v>
      </c>
      <c r="E59" s="2">
        <v>450</v>
      </c>
      <c r="F59" s="2">
        <v>72</v>
      </c>
      <c r="G59" s="2"/>
      <c r="H59" s="2" t="s">
        <v>186</v>
      </c>
      <c r="I59" s="2"/>
      <c r="J59" s="2"/>
      <c r="K59" s="2">
        <v>0</v>
      </c>
      <c r="L59" s="2">
        <v>0</v>
      </c>
    </row>
    <row r="60" spans="1:12" x14ac:dyDescent="0.3">
      <c r="A60" s="1" t="s">
        <v>119</v>
      </c>
      <c r="B60" s="1">
        <f t="shared" si="0"/>
        <v>59</v>
      </c>
      <c r="C60" s="2">
        <v>720</v>
      </c>
      <c r="D60" s="2">
        <v>396</v>
      </c>
      <c r="E60" s="2">
        <v>90</v>
      </c>
      <c r="F60" s="2">
        <v>72</v>
      </c>
      <c r="G60" s="2"/>
      <c r="H60" s="2" t="s">
        <v>119</v>
      </c>
      <c r="I60" s="2"/>
      <c r="J60" s="2"/>
      <c r="K60" s="2">
        <v>0</v>
      </c>
      <c r="L60" s="2">
        <v>0</v>
      </c>
    </row>
    <row r="61" spans="1:12" x14ac:dyDescent="0.3">
      <c r="A61" s="1" t="s">
        <v>171</v>
      </c>
      <c r="B61" s="1">
        <f t="shared" si="0"/>
        <v>60</v>
      </c>
      <c r="C61" s="2">
        <v>990</v>
      </c>
      <c r="D61" s="2">
        <v>396</v>
      </c>
      <c r="E61" s="2">
        <v>90</v>
      </c>
      <c r="F61" s="2">
        <v>72</v>
      </c>
      <c r="G61" s="2"/>
      <c r="H61" s="2" t="s">
        <v>171</v>
      </c>
      <c r="I61" s="2"/>
      <c r="J61" s="2"/>
      <c r="K61" s="2">
        <v>0</v>
      </c>
      <c r="L61" s="2">
        <v>0</v>
      </c>
    </row>
    <row r="62" spans="1:12" x14ac:dyDescent="0.3">
      <c r="A62" s="1" t="s">
        <v>172</v>
      </c>
      <c r="B62" s="1">
        <f t="shared" si="0"/>
        <v>61</v>
      </c>
      <c r="C62" s="2">
        <v>1116</v>
      </c>
      <c r="D62" s="2">
        <v>108</v>
      </c>
      <c r="E62" s="2">
        <v>72</v>
      </c>
      <c r="F62" s="2">
        <v>72</v>
      </c>
      <c r="G62" s="2"/>
      <c r="H62" s="2" t="s">
        <v>172</v>
      </c>
      <c r="I62" s="2"/>
      <c r="J62" s="2"/>
      <c r="K62" s="2">
        <v>0</v>
      </c>
      <c r="L62" s="2">
        <v>0</v>
      </c>
    </row>
    <row r="63" spans="1:12" x14ac:dyDescent="0.3">
      <c r="A63" s="1" t="s">
        <v>173</v>
      </c>
      <c r="B63" s="1">
        <f t="shared" si="0"/>
        <v>62</v>
      </c>
      <c r="C63" s="2">
        <v>1116</v>
      </c>
      <c r="D63" s="2">
        <v>180</v>
      </c>
      <c r="E63" s="2">
        <v>72</v>
      </c>
      <c r="F63" s="2">
        <v>72</v>
      </c>
      <c r="G63" s="2"/>
      <c r="H63" s="2" t="s">
        <v>173</v>
      </c>
      <c r="I63" s="2"/>
      <c r="J63" s="2"/>
      <c r="K63" s="2">
        <v>0</v>
      </c>
      <c r="L63" s="2">
        <v>0</v>
      </c>
    </row>
    <row r="64" spans="1:12" x14ac:dyDescent="0.3">
      <c r="A64" s="1" t="s">
        <v>174</v>
      </c>
      <c r="B64" s="1">
        <f t="shared" si="0"/>
        <v>63</v>
      </c>
      <c r="C64" s="2">
        <v>1116</v>
      </c>
      <c r="D64" s="2">
        <v>396</v>
      </c>
      <c r="E64" s="2">
        <v>72</v>
      </c>
      <c r="F64" s="2">
        <v>72</v>
      </c>
      <c r="G64" s="2"/>
      <c r="H64" s="2" t="s">
        <v>174</v>
      </c>
      <c r="I64" s="2"/>
      <c r="J64" s="2"/>
      <c r="K64" s="2">
        <v>0</v>
      </c>
      <c r="L64" s="2">
        <v>0</v>
      </c>
    </row>
    <row r="65" spans="1:12" x14ac:dyDescent="0.3">
      <c r="A65" s="1" t="s">
        <v>175</v>
      </c>
      <c r="B65" s="1">
        <f t="shared" si="0"/>
        <v>64</v>
      </c>
      <c r="C65" s="2">
        <v>1188</v>
      </c>
      <c r="D65" s="2">
        <v>108</v>
      </c>
      <c r="E65" s="2">
        <v>72</v>
      </c>
      <c r="F65" s="2">
        <v>72</v>
      </c>
      <c r="G65" s="2"/>
      <c r="H65" s="2" t="s">
        <v>175</v>
      </c>
      <c r="I65" s="2"/>
      <c r="J65" s="2"/>
      <c r="K65" s="2">
        <v>0</v>
      </c>
      <c r="L65" s="2">
        <v>0</v>
      </c>
    </row>
    <row r="66" spans="1:12" x14ac:dyDescent="0.3">
      <c r="A66" s="1" t="s">
        <v>181</v>
      </c>
      <c r="B66" s="1">
        <f t="shared" ref="B66:B119" si="1">ROW(B66)-1</f>
        <v>65</v>
      </c>
      <c r="C66" s="2">
        <v>1188</v>
      </c>
      <c r="D66" s="2">
        <v>180</v>
      </c>
      <c r="E66" s="2">
        <v>72</v>
      </c>
      <c r="F66" s="2">
        <v>72</v>
      </c>
      <c r="G66" s="2"/>
      <c r="H66" s="2" t="s">
        <v>181</v>
      </c>
      <c r="I66" s="2"/>
      <c r="J66" s="2"/>
      <c r="K66" s="2">
        <v>0</v>
      </c>
      <c r="L66" s="2">
        <v>0</v>
      </c>
    </row>
    <row r="67" spans="1:12" x14ac:dyDescent="0.3">
      <c r="A67" s="1" t="s">
        <v>176</v>
      </c>
      <c r="B67" s="1">
        <f t="shared" si="1"/>
        <v>66</v>
      </c>
      <c r="C67" s="2">
        <v>1188</v>
      </c>
      <c r="D67" s="2">
        <v>324</v>
      </c>
      <c r="E67" s="2">
        <v>72</v>
      </c>
      <c r="F67" s="2">
        <v>72</v>
      </c>
      <c r="G67" s="2"/>
      <c r="H67" s="2" t="s">
        <v>176</v>
      </c>
      <c r="I67" s="2"/>
      <c r="J67" s="2"/>
      <c r="K67" s="2">
        <v>0</v>
      </c>
      <c r="L67" s="2">
        <v>0</v>
      </c>
    </row>
    <row r="68" spans="1:12" x14ac:dyDescent="0.3">
      <c r="A68" s="1" t="s">
        <v>177</v>
      </c>
      <c r="B68" s="1">
        <f t="shared" si="1"/>
        <v>67</v>
      </c>
      <c r="C68" s="2">
        <v>1188</v>
      </c>
      <c r="D68" s="2">
        <v>396</v>
      </c>
      <c r="E68" s="2">
        <v>72</v>
      </c>
      <c r="F68" s="2">
        <v>72</v>
      </c>
      <c r="G68" s="2"/>
      <c r="H68" s="2" t="s">
        <v>177</v>
      </c>
      <c r="I68" s="2"/>
      <c r="J68" s="2"/>
      <c r="K68" s="2">
        <v>0</v>
      </c>
      <c r="L68" s="2">
        <v>0</v>
      </c>
    </row>
    <row r="69" spans="1:12" x14ac:dyDescent="0.3">
      <c r="A69" s="1" t="s">
        <v>178</v>
      </c>
      <c r="B69" s="1">
        <f t="shared" si="1"/>
        <v>68</v>
      </c>
      <c r="C69" s="2">
        <v>1260</v>
      </c>
      <c r="D69" s="2">
        <v>108</v>
      </c>
      <c r="E69" s="2">
        <v>72</v>
      </c>
      <c r="F69" s="2">
        <v>72</v>
      </c>
      <c r="G69" s="2"/>
      <c r="H69" s="2" t="s">
        <v>178</v>
      </c>
      <c r="I69" s="2"/>
      <c r="J69" s="2"/>
      <c r="K69" s="2">
        <v>0</v>
      </c>
      <c r="L69" s="2">
        <v>0</v>
      </c>
    </row>
    <row r="70" spans="1:12" x14ac:dyDescent="0.3">
      <c r="A70" s="1" t="s">
        <v>182</v>
      </c>
      <c r="B70" s="1">
        <f t="shared" si="1"/>
        <v>69</v>
      </c>
      <c r="C70" s="2">
        <v>1260</v>
      </c>
      <c r="D70" s="2">
        <v>180</v>
      </c>
      <c r="E70" s="2">
        <v>72</v>
      </c>
      <c r="F70" s="2">
        <v>72</v>
      </c>
      <c r="G70" s="2"/>
      <c r="H70" s="2" t="s">
        <v>182</v>
      </c>
      <c r="I70" s="2"/>
      <c r="J70" s="2"/>
      <c r="K70" s="2">
        <v>0</v>
      </c>
      <c r="L70" s="2">
        <v>0</v>
      </c>
    </row>
    <row r="71" spans="1:12" x14ac:dyDescent="0.3">
      <c r="A71" s="1" t="s">
        <v>179</v>
      </c>
      <c r="B71" s="1">
        <f t="shared" si="1"/>
        <v>70</v>
      </c>
      <c r="C71" s="2">
        <v>1260</v>
      </c>
      <c r="D71" s="2">
        <v>396</v>
      </c>
      <c r="E71" s="2">
        <v>72</v>
      </c>
      <c r="F71" s="2">
        <v>72</v>
      </c>
      <c r="G71" s="2"/>
      <c r="H71" s="2" t="s">
        <v>179</v>
      </c>
      <c r="I71" s="2"/>
      <c r="J71" s="2"/>
      <c r="K71" s="2">
        <v>0</v>
      </c>
      <c r="L71" s="2">
        <v>0</v>
      </c>
    </row>
    <row r="72" spans="1:12" x14ac:dyDescent="0.3">
      <c r="A72" s="1" t="s">
        <v>180</v>
      </c>
      <c r="B72" s="1">
        <f t="shared" si="1"/>
        <v>71</v>
      </c>
      <c r="C72" s="2">
        <v>1368</v>
      </c>
      <c r="D72" s="2">
        <v>108</v>
      </c>
      <c r="E72" s="2">
        <v>72</v>
      </c>
      <c r="F72" s="2">
        <v>72</v>
      </c>
      <c r="G72" s="2"/>
      <c r="H72" s="2" t="s">
        <v>180</v>
      </c>
      <c r="I72" s="2"/>
      <c r="J72" s="2"/>
      <c r="K72" s="2">
        <v>0</v>
      </c>
      <c r="L72" s="2">
        <v>1</v>
      </c>
    </row>
    <row r="73" spans="1:12" x14ac:dyDescent="0.3">
      <c r="A73" s="1" t="s">
        <v>175</v>
      </c>
      <c r="B73" s="1">
        <f t="shared" si="1"/>
        <v>72</v>
      </c>
      <c r="C73" s="2">
        <v>1368</v>
      </c>
      <c r="D73" s="2">
        <v>180</v>
      </c>
      <c r="E73" s="2">
        <v>72</v>
      </c>
      <c r="F73" s="2">
        <v>72</v>
      </c>
      <c r="G73" s="2" t="s">
        <v>206</v>
      </c>
      <c r="H73" s="2" t="s">
        <v>175</v>
      </c>
      <c r="I73" s="2"/>
      <c r="J73" s="2"/>
      <c r="K73" s="2">
        <v>0</v>
      </c>
      <c r="L73" s="2">
        <v>1</v>
      </c>
    </row>
    <row r="74" spans="1:12" x14ac:dyDescent="0.3">
      <c r="A74" s="1" t="s">
        <v>174</v>
      </c>
      <c r="B74" s="1">
        <f t="shared" si="1"/>
        <v>73</v>
      </c>
      <c r="C74" s="2">
        <v>1368</v>
      </c>
      <c r="D74" s="2">
        <v>252</v>
      </c>
      <c r="E74" s="2">
        <v>72</v>
      </c>
      <c r="F74" s="2">
        <v>72</v>
      </c>
      <c r="G74" s="2" t="s">
        <v>207</v>
      </c>
      <c r="H74" s="2" t="s">
        <v>174</v>
      </c>
      <c r="I74" s="2"/>
      <c r="J74" s="2"/>
      <c r="K74" s="2">
        <v>0</v>
      </c>
      <c r="L74" s="2">
        <v>1</v>
      </c>
    </row>
    <row r="75" spans="1:12" x14ac:dyDescent="0.3">
      <c r="A75" s="1" t="s">
        <v>181</v>
      </c>
      <c r="B75" s="1">
        <f t="shared" si="1"/>
        <v>74</v>
      </c>
      <c r="C75" s="2">
        <v>1368</v>
      </c>
      <c r="D75" s="2">
        <v>324</v>
      </c>
      <c r="E75" s="2">
        <v>72</v>
      </c>
      <c r="F75" s="2">
        <v>72</v>
      </c>
      <c r="G75" s="2" t="s">
        <v>208</v>
      </c>
      <c r="H75" s="2" t="s">
        <v>181</v>
      </c>
      <c r="I75" s="2"/>
      <c r="J75" s="2"/>
      <c r="K75" s="2">
        <v>0</v>
      </c>
      <c r="L75" s="2">
        <v>1</v>
      </c>
    </row>
    <row r="76" spans="1:12" x14ac:dyDescent="0.3">
      <c r="A76" s="1" t="s">
        <v>23</v>
      </c>
      <c r="B76" s="1">
        <f t="shared" si="1"/>
        <v>75</v>
      </c>
      <c r="C76" s="2">
        <v>1440</v>
      </c>
      <c r="D76" s="2">
        <v>108</v>
      </c>
      <c r="E76" s="2">
        <v>72</v>
      </c>
      <c r="F76" s="2">
        <v>72</v>
      </c>
      <c r="G76" s="2"/>
      <c r="H76" s="2" t="s">
        <v>23</v>
      </c>
      <c r="I76" s="2"/>
      <c r="J76" s="2"/>
      <c r="K76" s="2">
        <v>0</v>
      </c>
      <c r="L76" s="2">
        <v>1</v>
      </c>
    </row>
    <row r="77" spans="1:12" x14ac:dyDescent="0.3">
      <c r="A77" s="1" t="s">
        <v>176</v>
      </c>
      <c r="B77" s="1">
        <f t="shared" si="1"/>
        <v>76</v>
      </c>
      <c r="C77" s="2">
        <v>1440</v>
      </c>
      <c r="D77" s="2">
        <v>180</v>
      </c>
      <c r="E77" s="2">
        <v>72</v>
      </c>
      <c r="F77" s="2">
        <v>72</v>
      </c>
      <c r="G77" s="2" t="s">
        <v>209</v>
      </c>
      <c r="H77" s="2" t="s">
        <v>176</v>
      </c>
      <c r="I77" s="2"/>
      <c r="J77" s="2"/>
      <c r="K77" s="2">
        <v>0</v>
      </c>
      <c r="L77" s="2">
        <v>1</v>
      </c>
    </row>
    <row r="78" spans="1:12" x14ac:dyDescent="0.3">
      <c r="A78" s="1" t="s">
        <v>156</v>
      </c>
      <c r="B78" s="1">
        <f t="shared" si="1"/>
        <v>77</v>
      </c>
      <c r="C78" s="2">
        <v>1440</v>
      </c>
      <c r="D78" s="2">
        <v>252</v>
      </c>
      <c r="E78" s="2">
        <v>72</v>
      </c>
      <c r="F78" s="2">
        <v>72</v>
      </c>
      <c r="G78" s="2" t="s">
        <v>210</v>
      </c>
      <c r="H78" s="2" t="s">
        <v>156</v>
      </c>
      <c r="I78" s="2"/>
      <c r="J78" s="2"/>
      <c r="K78" s="2">
        <v>0</v>
      </c>
      <c r="L78" s="2">
        <v>1</v>
      </c>
    </row>
    <row r="79" spans="1:12" x14ac:dyDescent="0.3">
      <c r="A79" s="1" t="s">
        <v>177</v>
      </c>
      <c r="B79" s="1">
        <f t="shared" si="1"/>
        <v>78</v>
      </c>
      <c r="C79" s="2">
        <v>1440</v>
      </c>
      <c r="D79" s="2">
        <v>324</v>
      </c>
      <c r="E79" s="2">
        <v>72</v>
      </c>
      <c r="F79" s="2">
        <v>72</v>
      </c>
      <c r="G79" s="2" t="s">
        <v>211</v>
      </c>
      <c r="H79" s="2" t="s">
        <v>177</v>
      </c>
      <c r="I79" s="2"/>
      <c r="J79" s="2"/>
      <c r="K79" s="2">
        <v>0</v>
      </c>
      <c r="L79" s="2">
        <v>1</v>
      </c>
    </row>
    <row r="80" spans="1:12" x14ac:dyDescent="0.3">
      <c r="A80" s="1" t="s">
        <v>172</v>
      </c>
      <c r="B80" s="1">
        <f t="shared" si="1"/>
        <v>79</v>
      </c>
      <c r="C80" s="2">
        <v>1368</v>
      </c>
      <c r="D80" s="2">
        <v>396</v>
      </c>
      <c r="E80" s="2">
        <v>144</v>
      </c>
      <c r="F80" s="2">
        <v>72</v>
      </c>
      <c r="G80" s="2"/>
      <c r="H80" s="2" t="s">
        <v>172</v>
      </c>
      <c r="I80" s="2"/>
      <c r="J80" s="2"/>
      <c r="K80" s="2">
        <v>0</v>
      </c>
      <c r="L80" s="2">
        <v>1</v>
      </c>
    </row>
    <row r="81" spans="1:12" x14ac:dyDescent="0.3">
      <c r="A81" s="1" t="s">
        <v>62</v>
      </c>
      <c r="B81" s="1">
        <f t="shared" si="1"/>
        <v>80</v>
      </c>
      <c r="C81" s="2">
        <v>1512</v>
      </c>
      <c r="D81" s="2">
        <v>108</v>
      </c>
      <c r="E81" s="2">
        <v>72</v>
      </c>
      <c r="F81" s="2">
        <v>72</v>
      </c>
      <c r="G81" s="2"/>
      <c r="H81" s="2" t="s">
        <v>62</v>
      </c>
      <c r="I81" s="2"/>
      <c r="J81" s="2"/>
      <c r="K81" s="2">
        <v>0</v>
      </c>
      <c r="L81" s="2">
        <v>1</v>
      </c>
    </row>
    <row r="82" spans="1:12" x14ac:dyDescent="0.3">
      <c r="A82" s="1" t="s">
        <v>178</v>
      </c>
      <c r="B82" s="1">
        <f t="shared" si="1"/>
        <v>81</v>
      </c>
      <c r="C82" s="2">
        <v>1512</v>
      </c>
      <c r="D82" s="2">
        <v>180</v>
      </c>
      <c r="E82" s="2">
        <v>72</v>
      </c>
      <c r="F82" s="2">
        <v>72</v>
      </c>
      <c r="G82" s="2" t="s">
        <v>212</v>
      </c>
      <c r="H82" s="2" t="s">
        <v>178</v>
      </c>
      <c r="I82" s="2"/>
      <c r="J82" s="2"/>
      <c r="K82" s="2">
        <v>0</v>
      </c>
      <c r="L82" s="2">
        <v>1</v>
      </c>
    </row>
    <row r="83" spans="1:12" x14ac:dyDescent="0.3">
      <c r="A83" s="1" t="s">
        <v>179</v>
      </c>
      <c r="B83" s="1">
        <f t="shared" si="1"/>
        <v>82</v>
      </c>
      <c r="C83" s="2">
        <v>1512</v>
      </c>
      <c r="D83" s="2">
        <v>252</v>
      </c>
      <c r="E83" s="2">
        <v>72</v>
      </c>
      <c r="F83" s="2">
        <v>72</v>
      </c>
      <c r="G83" s="2" t="s">
        <v>213</v>
      </c>
      <c r="H83" s="2" t="s">
        <v>179</v>
      </c>
      <c r="I83" s="2"/>
      <c r="J83" s="2"/>
      <c r="K83" s="2">
        <v>0</v>
      </c>
      <c r="L83" s="2">
        <v>1</v>
      </c>
    </row>
    <row r="84" spans="1:12" x14ac:dyDescent="0.3">
      <c r="A84" s="1" t="s">
        <v>182</v>
      </c>
      <c r="B84" s="1">
        <f t="shared" si="1"/>
        <v>83</v>
      </c>
      <c r="C84" s="2">
        <v>1512</v>
      </c>
      <c r="D84" s="2">
        <v>324</v>
      </c>
      <c r="E84" s="2">
        <v>72</v>
      </c>
      <c r="F84" s="2">
        <v>72</v>
      </c>
      <c r="G84" s="2" t="s">
        <v>214</v>
      </c>
      <c r="H84" s="2" t="s">
        <v>182</v>
      </c>
      <c r="I84" s="2"/>
      <c r="J84" s="2"/>
      <c r="K84" s="2">
        <v>0</v>
      </c>
      <c r="L84" s="2">
        <v>1</v>
      </c>
    </row>
    <row r="85" spans="1:12" x14ac:dyDescent="0.3">
      <c r="A85" s="1" t="s">
        <v>173</v>
      </c>
      <c r="B85" s="1">
        <f t="shared" si="1"/>
        <v>84</v>
      </c>
      <c r="C85" s="2">
        <v>1512</v>
      </c>
      <c r="D85" s="2">
        <v>396</v>
      </c>
      <c r="E85" s="2">
        <v>72</v>
      </c>
      <c r="F85" s="2">
        <v>72</v>
      </c>
      <c r="G85" s="2"/>
      <c r="H85" s="2" t="s">
        <v>112</v>
      </c>
      <c r="I85" s="2"/>
      <c r="J85" s="2"/>
      <c r="K85" s="2">
        <v>0</v>
      </c>
      <c r="L85" s="2">
        <v>1</v>
      </c>
    </row>
    <row r="86" spans="1:12" x14ac:dyDescent="0.3">
      <c r="A86" s="1" t="s">
        <v>114</v>
      </c>
      <c r="B86" s="1">
        <f t="shared" si="1"/>
        <v>85</v>
      </c>
      <c r="C86" s="2">
        <v>1584</v>
      </c>
      <c r="D86" s="2">
        <v>108</v>
      </c>
      <c r="E86" s="2">
        <v>72</v>
      </c>
      <c r="F86" s="2">
        <v>72</v>
      </c>
      <c r="G86" s="2"/>
      <c r="H86" s="2" t="s">
        <v>114</v>
      </c>
      <c r="I86" s="2"/>
      <c r="J86" s="2"/>
      <c r="K86" s="2">
        <v>0</v>
      </c>
      <c r="L86" s="2">
        <v>1</v>
      </c>
    </row>
    <row r="87" spans="1:12" x14ac:dyDescent="0.3">
      <c r="A87" s="1" t="s">
        <v>63</v>
      </c>
      <c r="B87" s="1">
        <f t="shared" si="1"/>
        <v>86</v>
      </c>
      <c r="C87" s="2">
        <v>1584</v>
      </c>
      <c r="D87" s="2">
        <v>180</v>
      </c>
      <c r="E87" s="2">
        <v>72</v>
      </c>
      <c r="F87" s="2">
        <v>144</v>
      </c>
      <c r="G87" s="2"/>
      <c r="H87" s="2" t="s">
        <v>63</v>
      </c>
      <c r="I87" s="2"/>
      <c r="J87" s="2"/>
      <c r="K87" s="2">
        <v>0</v>
      </c>
      <c r="L87" s="2">
        <v>1</v>
      </c>
    </row>
    <row r="88" spans="1:12" x14ac:dyDescent="0.3">
      <c r="A88" s="1" t="s">
        <v>167</v>
      </c>
      <c r="B88" s="1">
        <f t="shared" si="1"/>
        <v>87</v>
      </c>
      <c r="C88" s="2">
        <v>1584</v>
      </c>
      <c r="D88" s="2">
        <v>324</v>
      </c>
      <c r="E88" s="2">
        <v>72</v>
      </c>
      <c r="F88" s="2">
        <v>144</v>
      </c>
      <c r="G88" s="2"/>
      <c r="H88" s="2" t="s">
        <v>167</v>
      </c>
      <c r="I88" s="2"/>
      <c r="J88" s="2"/>
      <c r="K88" s="2">
        <v>0</v>
      </c>
      <c r="L88" s="2">
        <v>1</v>
      </c>
    </row>
    <row r="89" spans="1:12" x14ac:dyDescent="0.3">
      <c r="A89" s="1" t="s">
        <v>134</v>
      </c>
      <c r="B89" s="1">
        <f t="shared" si="1"/>
        <v>88</v>
      </c>
      <c r="C89" s="2">
        <v>0</v>
      </c>
      <c r="D89" s="2">
        <v>0</v>
      </c>
      <c r="E89" s="2">
        <v>72</v>
      </c>
      <c r="F89" s="2">
        <v>72</v>
      </c>
      <c r="G89" s="2"/>
      <c r="H89" s="2" t="s">
        <v>134</v>
      </c>
      <c r="I89" s="2"/>
      <c r="J89" s="2"/>
      <c r="K89" s="2">
        <v>0</v>
      </c>
      <c r="L89" s="2">
        <v>0</v>
      </c>
    </row>
    <row r="90" spans="1:12" x14ac:dyDescent="0.3">
      <c r="A90" s="1" t="s">
        <v>135</v>
      </c>
      <c r="B90" s="1">
        <f t="shared" si="1"/>
        <v>89</v>
      </c>
      <c r="C90" s="2">
        <v>144</v>
      </c>
      <c r="D90" s="2">
        <v>0</v>
      </c>
      <c r="E90" s="2">
        <v>72</v>
      </c>
      <c r="F90" s="2">
        <v>72</v>
      </c>
      <c r="G90" s="2"/>
      <c r="H90" s="2" t="s">
        <v>135</v>
      </c>
      <c r="I90" s="2"/>
      <c r="J90" s="2"/>
      <c r="K90" s="2">
        <v>0</v>
      </c>
      <c r="L90" s="2">
        <v>0</v>
      </c>
    </row>
    <row r="91" spans="1:12" x14ac:dyDescent="0.3">
      <c r="A91" s="1" t="s">
        <v>136</v>
      </c>
      <c r="B91" s="1">
        <f t="shared" si="1"/>
        <v>90</v>
      </c>
      <c r="C91" s="2">
        <v>216</v>
      </c>
      <c r="D91" s="2">
        <v>0</v>
      </c>
      <c r="E91" s="2">
        <v>72</v>
      </c>
      <c r="F91" s="2">
        <v>72</v>
      </c>
      <c r="G91" s="2"/>
      <c r="H91" s="2" t="s">
        <v>136</v>
      </c>
      <c r="I91" s="2"/>
      <c r="J91" s="2"/>
      <c r="K91" s="2">
        <v>0</v>
      </c>
      <c r="L91" s="2">
        <v>0</v>
      </c>
    </row>
    <row r="92" spans="1:12" x14ac:dyDescent="0.3">
      <c r="A92" s="1" t="s">
        <v>137</v>
      </c>
      <c r="B92" s="1">
        <f t="shared" si="1"/>
        <v>91</v>
      </c>
      <c r="C92" s="2">
        <v>288</v>
      </c>
      <c r="D92" s="2">
        <v>0</v>
      </c>
      <c r="E92" s="2">
        <v>72</v>
      </c>
      <c r="F92" s="2">
        <v>72</v>
      </c>
      <c r="G92" s="2"/>
      <c r="H92" s="2" t="s">
        <v>137</v>
      </c>
      <c r="I92" s="2"/>
      <c r="J92" s="2"/>
      <c r="K92" s="2">
        <v>0</v>
      </c>
      <c r="L92" s="2">
        <v>0</v>
      </c>
    </row>
    <row r="93" spans="1:12" x14ac:dyDescent="0.3">
      <c r="A93" s="1" t="s">
        <v>138</v>
      </c>
      <c r="B93" s="1">
        <f t="shared" si="1"/>
        <v>92</v>
      </c>
      <c r="C93" s="2">
        <v>360</v>
      </c>
      <c r="D93" s="2">
        <v>0</v>
      </c>
      <c r="E93" s="2">
        <v>72</v>
      </c>
      <c r="F93" s="2">
        <v>72</v>
      </c>
      <c r="G93" s="2"/>
      <c r="H93" s="2" t="s">
        <v>138</v>
      </c>
      <c r="I93" s="2"/>
      <c r="J93" s="2"/>
      <c r="K93" s="2">
        <v>0</v>
      </c>
      <c r="L93" s="2">
        <v>0</v>
      </c>
    </row>
    <row r="94" spans="1:12" x14ac:dyDescent="0.3">
      <c r="A94" s="1" t="s">
        <v>139</v>
      </c>
      <c r="B94" s="1">
        <f t="shared" si="1"/>
        <v>93</v>
      </c>
      <c r="C94" s="2">
        <v>468</v>
      </c>
      <c r="D94" s="2">
        <v>0</v>
      </c>
      <c r="E94" s="2">
        <v>72</v>
      </c>
      <c r="F94" s="2">
        <v>72</v>
      </c>
      <c r="G94" s="2"/>
      <c r="H94" s="2" t="s">
        <v>139</v>
      </c>
      <c r="I94" s="2"/>
      <c r="J94" s="2"/>
      <c r="K94" s="2">
        <v>0</v>
      </c>
      <c r="L94" s="2">
        <v>0</v>
      </c>
    </row>
    <row r="95" spans="1:12" x14ac:dyDescent="0.3">
      <c r="A95" s="1" t="s">
        <v>140</v>
      </c>
      <c r="B95" s="1">
        <f t="shared" si="1"/>
        <v>94</v>
      </c>
      <c r="C95" s="2">
        <v>540</v>
      </c>
      <c r="D95" s="2">
        <v>0</v>
      </c>
      <c r="E95" s="2">
        <v>72</v>
      </c>
      <c r="F95" s="2">
        <v>72</v>
      </c>
      <c r="G95" s="2"/>
      <c r="H95" s="2" t="s">
        <v>140</v>
      </c>
      <c r="I95" s="2"/>
      <c r="J95" s="2"/>
      <c r="K95" s="2">
        <v>0</v>
      </c>
      <c r="L95" s="2">
        <v>0</v>
      </c>
    </row>
    <row r="96" spans="1:12" x14ac:dyDescent="0.3">
      <c r="A96" s="1" t="s">
        <v>141</v>
      </c>
      <c r="B96" s="1">
        <f t="shared" si="1"/>
        <v>95</v>
      </c>
      <c r="C96" s="2">
        <v>612</v>
      </c>
      <c r="D96" s="2">
        <v>0</v>
      </c>
      <c r="E96" s="2">
        <v>72</v>
      </c>
      <c r="F96" s="2">
        <v>72</v>
      </c>
      <c r="G96" s="2"/>
      <c r="H96" s="2" t="s">
        <v>141</v>
      </c>
      <c r="I96" s="2"/>
      <c r="J96" s="2"/>
      <c r="K96" s="2">
        <v>0</v>
      </c>
      <c r="L96" s="2">
        <v>0</v>
      </c>
    </row>
    <row r="97" spans="1:12" x14ac:dyDescent="0.3">
      <c r="A97" s="1" t="s">
        <v>142</v>
      </c>
      <c r="B97" s="1">
        <f t="shared" si="1"/>
        <v>96</v>
      </c>
      <c r="C97" s="2">
        <v>684</v>
      </c>
      <c r="D97" s="2">
        <v>0</v>
      </c>
      <c r="E97" s="2">
        <v>72</v>
      </c>
      <c r="F97" s="2">
        <v>72</v>
      </c>
      <c r="G97" s="2"/>
      <c r="H97" s="2" t="s">
        <v>142</v>
      </c>
      <c r="I97" s="2"/>
      <c r="J97" s="2"/>
      <c r="K97" s="2">
        <v>0</v>
      </c>
      <c r="L97" s="2">
        <v>0</v>
      </c>
    </row>
    <row r="98" spans="1:12" x14ac:dyDescent="0.3">
      <c r="A98" s="1" t="s">
        <v>143</v>
      </c>
      <c r="B98" s="1">
        <f t="shared" si="1"/>
        <v>97</v>
      </c>
      <c r="C98" s="2">
        <v>792</v>
      </c>
      <c r="D98" s="2">
        <v>0</v>
      </c>
      <c r="E98" s="2">
        <v>72</v>
      </c>
      <c r="F98" s="2">
        <v>72</v>
      </c>
      <c r="G98" s="2"/>
      <c r="H98" s="2" t="s">
        <v>143</v>
      </c>
      <c r="I98" s="2"/>
      <c r="J98" s="2"/>
      <c r="K98" s="2">
        <v>0</v>
      </c>
      <c r="L98" s="2">
        <v>0</v>
      </c>
    </row>
    <row r="99" spans="1:12" x14ac:dyDescent="0.3">
      <c r="A99" s="1" t="s">
        <v>144</v>
      </c>
      <c r="B99" s="1">
        <f t="shared" si="1"/>
        <v>98</v>
      </c>
      <c r="C99" s="2">
        <v>864</v>
      </c>
      <c r="D99" s="2">
        <v>0</v>
      </c>
      <c r="E99" s="2">
        <v>72</v>
      </c>
      <c r="F99" s="2">
        <v>72</v>
      </c>
      <c r="G99" s="2"/>
      <c r="H99" s="2" t="s">
        <v>144</v>
      </c>
      <c r="I99" s="2"/>
      <c r="J99" s="2"/>
      <c r="K99" s="2">
        <v>0</v>
      </c>
      <c r="L99" s="2">
        <v>0</v>
      </c>
    </row>
    <row r="100" spans="1:12" x14ac:dyDescent="0.3">
      <c r="A100" s="1" t="s">
        <v>145</v>
      </c>
      <c r="B100" s="1">
        <f t="shared" si="1"/>
        <v>99</v>
      </c>
      <c r="C100" s="2">
        <v>936</v>
      </c>
      <c r="D100" s="2">
        <v>0</v>
      </c>
      <c r="E100" s="2">
        <v>72</v>
      </c>
      <c r="F100" s="2">
        <v>72</v>
      </c>
      <c r="G100" s="2"/>
      <c r="H100" s="2" t="s">
        <v>145</v>
      </c>
      <c r="I100" s="2"/>
      <c r="J100" s="2"/>
      <c r="K100" s="2">
        <v>0</v>
      </c>
      <c r="L100" s="2">
        <v>0</v>
      </c>
    </row>
    <row r="101" spans="1:12" x14ac:dyDescent="0.3">
      <c r="A101" s="1" t="s">
        <v>146</v>
      </c>
      <c r="B101" s="1">
        <f t="shared" si="1"/>
        <v>100</v>
      </c>
      <c r="C101" s="2">
        <v>1008</v>
      </c>
      <c r="D101" s="2">
        <v>0</v>
      </c>
      <c r="E101" s="2">
        <v>72</v>
      </c>
      <c r="F101" s="2">
        <v>72</v>
      </c>
      <c r="G101" s="2"/>
      <c r="H101" s="2" t="s">
        <v>146</v>
      </c>
      <c r="I101" s="2"/>
      <c r="J101" s="2"/>
      <c r="K101" s="2">
        <v>0</v>
      </c>
      <c r="L101" s="2">
        <v>0</v>
      </c>
    </row>
    <row r="102" spans="1:12" x14ac:dyDescent="0.3">
      <c r="A102" s="1" t="s">
        <v>160</v>
      </c>
      <c r="B102" s="1">
        <f t="shared" si="1"/>
        <v>101</v>
      </c>
      <c r="C102" s="2">
        <v>1110</v>
      </c>
      <c r="D102" s="2">
        <v>0</v>
      </c>
      <c r="E102" s="2">
        <v>72</v>
      </c>
      <c r="F102" s="2">
        <v>72</v>
      </c>
      <c r="G102" s="2"/>
      <c r="H102" s="2" t="s">
        <v>160</v>
      </c>
      <c r="I102" s="2"/>
      <c r="J102" s="2"/>
      <c r="K102" s="2">
        <v>0</v>
      </c>
      <c r="L102" s="2">
        <v>0</v>
      </c>
    </row>
    <row r="103" spans="1:12" x14ac:dyDescent="0.3">
      <c r="A103" s="1" t="s">
        <v>159</v>
      </c>
      <c r="B103" s="1">
        <f t="shared" si="1"/>
        <v>102</v>
      </c>
      <c r="C103" s="2">
        <v>1182</v>
      </c>
      <c r="D103" s="2">
        <v>0</v>
      </c>
      <c r="E103" s="2">
        <v>72</v>
      </c>
      <c r="F103" s="2">
        <v>72</v>
      </c>
      <c r="G103" s="2"/>
      <c r="H103" s="2" t="s">
        <v>159</v>
      </c>
      <c r="I103" s="2"/>
      <c r="J103" s="2"/>
      <c r="K103" s="2">
        <v>0</v>
      </c>
      <c r="L103" s="2">
        <v>0</v>
      </c>
    </row>
    <row r="104" spans="1:12" x14ac:dyDescent="0.3">
      <c r="A104" s="1" t="s">
        <v>149</v>
      </c>
      <c r="B104" s="1">
        <f t="shared" si="1"/>
        <v>103</v>
      </c>
      <c r="C104" s="2">
        <v>1254</v>
      </c>
      <c r="D104" s="2">
        <v>0</v>
      </c>
      <c r="E104" s="2">
        <v>72</v>
      </c>
      <c r="F104" s="2">
        <v>72</v>
      </c>
      <c r="G104" s="2"/>
      <c r="H104" s="2" t="s">
        <v>149</v>
      </c>
      <c r="I104" s="2"/>
      <c r="J104" s="2"/>
      <c r="K104" s="2">
        <v>0</v>
      </c>
      <c r="L104" s="2">
        <v>0</v>
      </c>
    </row>
    <row r="105" spans="1:12" x14ac:dyDescent="0.3">
      <c r="A105" s="1" t="s">
        <v>150</v>
      </c>
      <c r="B105" s="1">
        <f t="shared" si="1"/>
        <v>104</v>
      </c>
      <c r="C105" s="2">
        <v>90</v>
      </c>
      <c r="D105" s="2">
        <v>396</v>
      </c>
      <c r="E105" s="2">
        <v>90</v>
      </c>
      <c r="F105" s="2">
        <v>72</v>
      </c>
      <c r="G105" s="2"/>
      <c r="H105" s="2" t="s">
        <v>150</v>
      </c>
      <c r="I105" s="2"/>
      <c r="J105" s="2"/>
      <c r="K105" s="2">
        <v>0</v>
      </c>
      <c r="L105" s="2">
        <v>0</v>
      </c>
    </row>
    <row r="106" spans="1:12" x14ac:dyDescent="0.3">
      <c r="A106" s="1" t="s">
        <v>151</v>
      </c>
      <c r="B106" s="1">
        <f t="shared" si="1"/>
        <v>105</v>
      </c>
      <c r="C106" s="2">
        <v>810</v>
      </c>
      <c r="D106" s="2">
        <v>396</v>
      </c>
      <c r="E106" s="2">
        <v>90</v>
      </c>
      <c r="F106" s="2">
        <v>72</v>
      </c>
      <c r="G106" s="2"/>
      <c r="H106" s="2" t="s">
        <v>151</v>
      </c>
      <c r="I106" s="2"/>
      <c r="J106" s="2"/>
      <c r="K106" s="2">
        <v>0</v>
      </c>
      <c r="L106" s="2">
        <v>0</v>
      </c>
    </row>
    <row r="107" spans="1:12" x14ac:dyDescent="0.3">
      <c r="A107" s="1" t="s">
        <v>161</v>
      </c>
      <c r="B107" s="1">
        <f t="shared" si="1"/>
        <v>106</v>
      </c>
      <c r="C107" s="2">
        <v>900</v>
      </c>
      <c r="D107" s="2">
        <v>396</v>
      </c>
      <c r="E107" s="2">
        <v>90</v>
      </c>
      <c r="F107" s="2">
        <v>72</v>
      </c>
      <c r="G107" s="2"/>
      <c r="H107" s="2" t="s">
        <v>161</v>
      </c>
      <c r="I107" s="2"/>
      <c r="J107" s="2"/>
      <c r="K107" s="2">
        <v>0</v>
      </c>
      <c r="L107" s="2">
        <v>0</v>
      </c>
    </row>
    <row r="108" spans="1:12" x14ac:dyDescent="0.3">
      <c r="A108" s="1" t="s">
        <v>246</v>
      </c>
      <c r="B108" s="1">
        <f t="shared" si="1"/>
        <v>107</v>
      </c>
    </row>
    <row r="109" spans="1:12" x14ac:dyDescent="0.3">
      <c r="A109" s="1" t="s">
        <v>246</v>
      </c>
      <c r="B109" s="1">
        <f t="shared" si="1"/>
        <v>108</v>
      </c>
    </row>
    <row r="110" spans="1:12" x14ac:dyDescent="0.3">
      <c r="A110" s="1" t="s">
        <v>246</v>
      </c>
      <c r="B110" s="1">
        <f t="shared" si="1"/>
        <v>109</v>
      </c>
    </row>
    <row r="111" spans="1:12" x14ac:dyDescent="0.3">
      <c r="A111" s="1" t="s">
        <v>246</v>
      </c>
      <c r="B111" s="1">
        <f t="shared" si="1"/>
        <v>110</v>
      </c>
    </row>
    <row r="112" spans="1:12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7A32-616F-4BB6-98D1-ADC1A9E0AA13}">
  <sheetPr codeName="Sheet6"/>
  <dimension ref="A1:P119"/>
  <sheetViews>
    <sheetView workbookViewId="0">
      <pane xSplit="2" ySplit="1" topLeftCell="C95" activePane="bottomRight" state="frozen"/>
      <selection pane="topRight" activeCell="C1" sqref="C1"/>
      <selection pane="bottomLeft" activeCell="A2" sqref="A2"/>
      <selection pane="bottomRight" activeCell="A108" sqref="A108:B119"/>
    </sheetView>
  </sheetViews>
  <sheetFormatPr defaultRowHeight="14.4" x14ac:dyDescent="0.3"/>
  <sheetData>
    <row r="1" spans="1:16" x14ac:dyDescent="0.3">
      <c r="A1" s="1" t="s">
        <v>153</v>
      </c>
      <c r="B1" s="1" t="s">
        <v>154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5" t="str">
        <f>"INSERT INTO positions ("&amp;aconcat($C1:$O1,",")&amp;") VALUES "</f>
        <v xml:space="preserve">INSERT INTO positions (position_id,layout_id,key_number,position_left,position_top,position_width,position_height,symbol_norm_cap,symbol_norm_low,symbol_altgr_cap,symbol_altgr_low,lowcap_optional,numpad) VALUES </v>
      </c>
    </row>
    <row r="2" spans="1:16" x14ac:dyDescent="0.3">
      <c r="A2" s="1" t="s">
        <v>33</v>
      </c>
      <c r="B2" s="1">
        <f t="shared" ref="B2:B65" si="0">ROW(B2)-1</f>
        <v>1</v>
      </c>
      <c r="C2" s="6" t="str">
        <f>IF(COUNTIF(PC.IT105.Inp!$C2:$L2,"")=10,"","NULL")</f>
        <v>NULL</v>
      </c>
      <c r="D2" s="6" t="str">
        <f>IF(COUNTIF(PC.IT105.Inp!$C2:$L2,"")=10,"","NULL")</f>
        <v>NULL</v>
      </c>
      <c r="E2" s="6">
        <f>IF(COUNTIF(PC.IT105.Inp!$C2:$L2,"")=10,"",$B2)</f>
        <v>1</v>
      </c>
      <c r="F2" s="6">
        <f>IF(COUNTIF(PC.IT105.Inp!$C2:$L2,"")=10,"",IF(PC.IT105.Inp!$C2="","NULL",PC.IT105.Inp!$C2))</f>
        <v>0</v>
      </c>
      <c r="G2" s="6">
        <f>IF(COUNTIF(PC.IT105.Inp!$C2:$L2,"")=10,"",IF(PC.IT105.Inp!$D2="","NULL",PC.IT105.Inp!$D2))</f>
        <v>108</v>
      </c>
      <c r="H2" s="6">
        <f>IF(COUNTIF(PC.IT105.Inp!$C2:$L2,"")=10,"",IF(PC.IT105.Inp!$E2="","NULL",PC.IT105.Inp!$E2))</f>
        <v>72</v>
      </c>
      <c r="I2" s="6">
        <f>IF(COUNTIF(PC.IT105.Inp!$C2:$L2,"")=10,"",IF(PC.IT105.Inp!$F2="","NULL",PC.IT105.Inp!$F2))</f>
        <v>72</v>
      </c>
      <c r="J2" s="6" t="str">
        <f>IF(COUNTIF(PC.IT105.Inp!$C2:$L2,"")=10,"",IF(PC.IT105.Inp!$G2="","NULL",""""&amp;PC.IT105.Inp!$G2&amp;""""))</f>
        <v>"|"</v>
      </c>
      <c r="K2" s="8" t="str">
        <f>IF(COUNTIF(PC.IT105.Inp!$C2:$L2,"")=10,"",IF(PC.IT105.Inp!$H2="","NULL",""""&amp;PC.IT105.Inp!$H2&amp;""""))</f>
        <v>"\\"</v>
      </c>
      <c r="L2" s="6" t="str">
        <f>IF(COUNTIF(PC.IT105.Inp!$C2:$L2,"")=10,"",IF(PC.IT105.Inp!$I2="","NULL",""""&amp;PC.IT105.Inp!$I2&amp;""""))</f>
        <v>NULL</v>
      </c>
      <c r="M2" s="6" t="str">
        <f>IF(COUNTIF(PC.IT105.Inp!$C2:$L2,"")=10,"",IF(PC.IT105.Inp!$J2="","NULL",""""&amp;PC.IT105.Inp!$J2&amp;""""))</f>
        <v>NULL</v>
      </c>
      <c r="N2" s="6">
        <f>IF(COUNTIF(PC.IT105.Inp!$C2:$L2,"")=10,"",IF(PC.IT105.Inp!$K2="","NULL",PC.IT105.Inp!$K2))</f>
        <v>0</v>
      </c>
      <c r="O2" s="6">
        <f>IF(COUNTIF(PC.IT105.Inp!$C2:$L2,"")=10,"",IF(PC.IT105.Inp!$L2="","NULL",PC.IT105.Inp!$L2))</f>
        <v>0</v>
      </c>
      <c r="P2" s="7" t="str">
        <f>IF(COUNTIF(PC.TU105.Inp!$C2:$L2,"")=10,"","("&amp;aconcat($C2:$O2,",")&amp;"),")</f>
        <v>(NULL,NULL,1,0,108,72,72,"|","\\",NULL,NULL,0,0),</v>
      </c>
    </row>
    <row r="3" spans="1:16" x14ac:dyDescent="0.3">
      <c r="A3" s="1">
        <v>1</v>
      </c>
      <c r="B3" s="1">
        <f t="shared" si="0"/>
        <v>2</v>
      </c>
      <c r="C3" s="6" t="str">
        <f>IF(COUNTIF(PC.IT105.Inp!$C3:$L3,"")=10,"","NULL")</f>
        <v>NULL</v>
      </c>
      <c r="D3" s="6" t="str">
        <f>IF(COUNTIF(PC.IT105.Inp!$C3:$L3,"")=10,"","NULL")</f>
        <v>NULL</v>
      </c>
      <c r="E3" s="6">
        <f>IF(COUNTIF(PC.IT105.Inp!$C3:$L3,"")=10,"",$B3)</f>
        <v>2</v>
      </c>
      <c r="F3" s="6">
        <f>IF(COUNTIF(PC.IT105.Inp!$C3:$L3,"")=10,"",IF(PC.IT105.Inp!$C3="","NULL",PC.IT105.Inp!$C3))</f>
        <v>72</v>
      </c>
      <c r="G3" s="6">
        <f>IF(COUNTIF(PC.IT105.Inp!$C3:$L3,"")=10,"",IF(PC.IT105.Inp!$D3="","NULL",PC.IT105.Inp!$D3))</f>
        <v>108</v>
      </c>
      <c r="H3" s="6">
        <f>IF(COUNTIF(PC.IT105.Inp!$C3:$L3,"")=10,"",IF(PC.IT105.Inp!$E3="","NULL",PC.IT105.Inp!$E3))</f>
        <v>72</v>
      </c>
      <c r="I3" s="6">
        <f>IF(COUNTIF(PC.IT105.Inp!$C3:$L3,"")=10,"",IF(PC.IT105.Inp!$F3="","NULL",PC.IT105.Inp!$F3))</f>
        <v>72</v>
      </c>
      <c r="J3" s="6" t="str">
        <f>IF(COUNTIF(PC.IT105.Inp!$C3:$L3,"")=10,"",IF(PC.IT105.Inp!$G3="","NULL",""""&amp;PC.IT105.Inp!$G3&amp;""""))</f>
        <v>"!"</v>
      </c>
      <c r="K3" s="6" t="str">
        <f>IF(COUNTIF(PC.IT105.Inp!$C3:$L3,"")=10,"",IF(PC.IT105.Inp!$H3="","NULL",""""&amp;PC.IT105.Inp!$H3&amp;""""))</f>
        <v>"1"</v>
      </c>
      <c r="L3" s="6" t="str">
        <f>IF(COUNTIF(PC.IT105.Inp!$C3:$L3,"")=10,"",IF(PC.IT105.Inp!$I3="","NULL",""""&amp;PC.IT105.Inp!$I3&amp;""""))</f>
        <v>NULL</v>
      </c>
      <c r="M3" s="6" t="str">
        <f>IF(COUNTIF(PC.IT105.Inp!$C3:$L3,"")=10,"",IF(PC.IT105.Inp!$J3="","NULL",""""&amp;PC.IT105.Inp!$J3&amp;""""))</f>
        <v>NULL</v>
      </c>
      <c r="N3" s="6">
        <f>IF(COUNTIF(PC.IT105.Inp!$C3:$L3,"")=10,"",IF(PC.IT105.Inp!$K3="","NULL",PC.IT105.Inp!$K3))</f>
        <v>0</v>
      </c>
      <c r="O3" s="6">
        <f>IF(COUNTIF(PC.IT105.Inp!$C3:$L3,"")=10,"",IF(PC.IT105.Inp!$L3="","NULL",PC.IT105.Inp!$L3))</f>
        <v>0</v>
      </c>
      <c r="P3" s="7" t="str">
        <f>IF(COUNTIF(PC.TU105.Inp!$C3:$L3,"")=10,"","("&amp;aconcat($C3:$O3,",")&amp;"),")</f>
        <v>(NULL,NULL,2,72,108,72,72,"!","1",NULL,NULL,0,0),</v>
      </c>
    </row>
    <row r="4" spans="1:16" x14ac:dyDescent="0.3">
      <c r="A4" s="1">
        <v>2</v>
      </c>
      <c r="B4" s="1">
        <f t="shared" si="0"/>
        <v>3</v>
      </c>
      <c r="C4" s="6" t="str">
        <f>IF(COUNTIF(PC.IT105.Inp!$C4:$L4,"")=10,"","NULL")</f>
        <v>NULL</v>
      </c>
      <c r="D4" s="6" t="str">
        <f>IF(COUNTIF(PC.IT105.Inp!$C4:$L4,"")=10,"","NULL")</f>
        <v>NULL</v>
      </c>
      <c r="E4" s="6">
        <f>IF(COUNTIF(PC.IT105.Inp!$C4:$L4,"")=10,"",$B4)</f>
        <v>3</v>
      </c>
      <c r="F4" s="6">
        <f>IF(COUNTIF(PC.IT105.Inp!$C4:$L4,"")=10,"",IF(PC.IT105.Inp!$C4="","NULL",PC.IT105.Inp!$C4))</f>
        <v>144</v>
      </c>
      <c r="G4" s="6">
        <f>IF(COUNTIF(PC.IT105.Inp!$C4:$L4,"")=10,"",IF(PC.IT105.Inp!$D4="","NULL",PC.IT105.Inp!$D4))</f>
        <v>108</v>
      </c>
      <c r="H4" s="6">
        <f>IF(COUNTIF(PC.IT105.Inp!$C4:$L4,"")=10,"",IF(PC.IT105.Inp!$E4="","NULL",PC.IT105.Inp!$E4))</f>
        <v>72</v>
      </c>
      <c r="I4" s="6">
        <f>IF(COUNTIF(PC.IT105.Inp!$C4:$L4,"")=10,"",IF(PC.IT105.Inp!$F4="","NULL",PC.IT105.Inp!$F4))</f>
        <v>72</v>
      </c>
      <c r="J4" s="8" t="str">
        <f>IF(COUNTIF(PC.IT105.Inp!$C4:$L4,"")=10,"",IF(PC.IT105.Inp!$G4="","NULL",""""&amp;PC.IT105.Inp!$G4&amp;""""))</f>
        <v>"\""</v>
      </c>
      <c r="K4" s="6" t="str">
        <f>IF(COUNTIF(PC.IT105.Inp!$C4:$L4,"")=10,"",IF(PC.IT105.Inp!$H4="","NULL",""""&amp;PC.IT105.Inp!$H4&amp;""""))</f>
        <v>"2"</v>
      </c>
      <c r="L4" s="6" t="str">
        <f>IF(COUNTIF(PC.IT105.Inp!$C4:$L4,"")=10,"",IF(PC.IT105.Inp!$I4="","NULL",""""&amp;PC.IT105.Inp!$I4&amp;""""))</f>
        <v>NULL</v>
      </c>
      <c r="M4" s="6" t="str">
        <f>IF(COUNTIF(PC.IT105.Inp!$C4:$L4,"")=10,"",IF(PC.IT105.Inp!$J4="","NULL",""""&amp;PC.IT105.Inp!$J4&amp;""""))</f>
        <v>NULL</v>
      </c>
      <c r="N4" s="6">
        <f>IF(COUNTIF(PC.IT105.Inp!$C4:$L4,"")=10,"",IF(PC.IT105.Inp!$K4="","NULL",PC.IT105.Inp!$K4))</f>
        <v>0</v>
      </c>
      <c r="O4" s="6">
        <f>IF(COUNTIF(PC.IT105.Inp!$C4:$L4,"")=10,"",IF(PC.IT105.Inp!$L4="","NULL",PC.IT105.Inp!$L4))</f>
        <v>0</v>
      </c>
      <c r="P4" s="7" t="str">
        <f>IF(COUNTIF(PC.TU105.Inp!$C4:$L4,"")=10,"","("&amp;aconcat($C4:$O4,",")&amp;"),")</f>
        <v>(NULL,NULL,3,144,108,72,72,"\"","2",NULL,NULL,0,0),</v>
      </c>
    </row>
    <row r="5" spans="1:16" x14ac:dyDescent="0.3">
      <c r="A5" s="1">
        <v>3</v>
      </c>
      <c r="B5" s="1">
        <f t="shared" si="0"/>
        <v>4</v>
      </c>
      <c r="C5" s="6" t="str">
        <f>IF(COUNTIF(PC.IT105.Inp!$C5:$L5,"")=10,"","NULL")</f>
        <v>NULL</v>
      </c>
      <c r="D5" s="6" t="str">
        <f>IF(COUNTIF(PC.IT105.Inp!$C5:$L5,"")=10,"","NULL")</f>
        <v>NULL</v>
      </c>
      <c r="E5" s="6">
        <f>IF(COUNTIF(PC.IT105.Inp!$C5:$L5,"")=10,"",$B5)</f>
        <v>4</v>
      </c>
      <c r="F5" s="6">
        <f>IF(COUNTIF(PC.IT105.Inp!$C5:$L5,"")=10,"",IF(PC.IT105.Inp!$C5="","NULL",PC.IT105.Inp!$C5))</f>
        <v>216</v>
      </c>
      <c r="G5" s="6">
        <f>IF(COUNTIF(PC.IT105.Inp!$C5:$L5,"")=10,"",IF(PC.IT105.Inp!$D5="","NULL",PC.IT105.Inp!$D5))</f>
        <v>108</v>
      </c>
      <c r="H5" s="6">
        <f>IF(COUNTIF(PC.IT105.Inp!$C5:$L5,"")=10,"",IF(PC.IT105.Inp!$E5="","NULL",PC.IT105.Inp!$E5))</f>
        <v>72</v>
      </c>
      <c r="I5" s="6">
        <f>IF(COUNTIF(PC.IT105.Inp!$C5:$L5,"")=10,"",IF(PC.IT105.Inp!$F5="","NULL",PC.IT105.Inp!$F5))</f>
        <v>72</v>
      </c>
      <c r="J5" s="6" t="str">
        <f>IF(COUNTIF(PC.IT105.Inp!$C5:$L5,"")=10,"",IF(PC.IT105.Inp!$G5="","NULL",""""&amp;PC.IT105.Inp!$G5&amp;""""))</f>
        <v>"£"</v>
      </c>
      <c r="K5" s="6" t="str">
        <f>IF(COUNTIF(PC.IT105.Inp!$C5:$L5,"")=10,"",IF(PC.IT105.Inp!$H5="","NULL",""""&amp;PC.IT105.Inp!$H5&amp;""""))</f>
        <v>"3"</v>
      </c>
      <c r="L5" s="6" t="str">
        <f>IF(COUNTIF(PC.IT105.Inp!$C5:$L5,"")=10,"",IF(PC.IT105.Inp!$I5="","NULL",""""&amp;PC.IT105.Inp!$I5&amp;""""))</f>
        <v>NULL</v>
      </c>
      <c r="M5" s="6" t="str">
        <f>IF(COUNTIF(PC.IT105.Inp!$C5:$L5,"")=10,"",IF(PC.IT105.Inp!$J5="","NULL",""""&amp;PC.IT105.Inp!$J5&amp;""""))</f>
        <v>NULL</v>
      </c>
      <c r="N5" s="6">
        <f>IF(COUNTIF(PC.IT105.Inp!$C5:$L5,"")=10,"",IF(PC.IT105.Inp!$K5="","NULL",PC.IT105.Inp!$K5))</f>
        <v>0</v>
      </c>
      <c r="O5" s="6">
        <f>IF(COUNTIF(PC.IT105.Inp!$C5:$L5,"")=10,"",IF(PC.IT105.Inp!$L5="","NULL",PC.IT105.Inp!$L5))</f>
        <v>0</v>
      </c>
      <c r="P5" s="7" t="str">
        <f>IF(COUNTIF(PC.TU105.Inp!$C5:$L5,"")=10,"","("&amp;aconcat($C5:$O5,",")&amp;"),")</f>
        <v>(NULL,NULL,4,216,108,72,72,"£","3",NULL,NULL,0,0),</v>
      </c>
    </row>
    <row r="6" spans="1:16" x14ac:dyDescent="0.3">
      <c r="A6" s="1">
        <v>4</v>
      </c>
      <c r="B6" s="1">
        <f t="shared" si="0"/>
        <v>5</v>
      </c>
      <c r="C6" s="6" t="str">
        <f>IF(COUNTIF(PC.IT105.Inp!$C6:$L6,"")=10,"","NULL")</f>
        <v>NULL</v>
      </c>
      <c r="D6" s="6" t="str">
        <f>IF(COUNTIF(PC.IT105.Inp!$C6:$L6,"")=10,"","NULL")</f>
        <v>NULL</v>
      </c>
      <c r="E6" s="6">
        <f>IF(COUNTIF(PC.IT105.Inp!$C6:$L6,"")=10,"",$B6)</f>
        <v>5</v>
      </c>
      <c r="F6" s="6">
        <f>IF(COUNTIF(PC.IT105.Inp!$C6:$L6,"")=10,"",IF(PC.IT105.Inp!$C6="","NULL",PC.IT105.Inp!$C6))</f>
        <v>288</v>
      </c>
      <c r="G6" s="6">
        <f>IF(COUNTIF(PC.IT105.Inp!$C6:$L6,"")=10,"",IF(PC.IT105.Inp!$D6="","NULL",PC.IT105.Inp!$D6))</f>
        <v>108</v>
      </c>
      <c r="H6" s="6">
        <f>IF(COUNTIF(PC.IT105.Inp!$C6:$L6,"")=10,"",IF(PC.IT105.Inp!$E6="","NULL",PC.IT105.Inp!$E6))</f>
        <v>72</v>
      </c>
      <c r="I6" s="6">
        <f>IF(COUNTIF(PC.IT105.Inp!$C6:$L6,"")=10,"",IF(PC.IT105.Inp!$F6="","NULL",PC.IT105.Inp!$F6))</f>
        <v>72</v>
      </c>
      <c r="J6" s="6" t="str">
        <f>IF(COUNTIF(PC.IT105.Inp!$C6:$L6,"")=10,"",IF(PC.IT105.Inp!$G6="","NULL",""""&amp;PC.IT105.Inp!$G6&amp;""""))</f>
        <v>"$"</v>
      </c>
      <c r="K6" s="6" t="str">
        <f>IF(COUNTIF(PC.IT105.Inp!$C6:$L6,"")=10,"",IF(PC.IT105.Inp!$H6="","NULL",""""&amp;PC.IT105.Inp!$H6&amp;""""))</f>
        <v>"4"</v>
      </c>
      <c r="L6" s="6" t="str">
        <f>IF(COUNTIF(PC.IT105.Inp!$C6:$L6,"")=10,"",IF(PC.IT105.Inp!$I6="","NULL",""""&amp;PC.IT105.Inp!$I6&amp;""""))</f>
        <v>NULL</v>
      </c>
      <c r="M6" s="6" t="str">
        <f>IF(COUNTIF(PC.IT105.Inp!$C6:$L6,"")=10,"",IF(PC.IT105.Inp!$J6="","NULL",""""&amp;PC.IT105.Inp!$J6&amp;""""))</f>
        <v>NULL</v>
      </c>
      <c r="N6" s="6">
        <f>IF(COUNTIF(PC.IT105.Inp!$C6:$L6,"")=10,"",IF(PC.IT105.Inp!$K6="","NULL",PC.IT105.Inp!$K6))</f>
        <v>0</v>
      </c>
      <c r="O6" s="6">
        <f>IF(COUNTIF(PC.IT105.Inp!$C6:$L6,"")=10,"",IF(PC.IT105.Inp!$L6="","NULL",PC.IT105.Inp!$L6))</f>
        <v>0</v>
      </c>
      <c r="P6" s="7" t="str">
        <f>IF(COUNTIF(PC.TU105.Inp!$C6:$L6,"")=10,"","("&amp;aconcat($C6:$O6,",")&amp;"),")</f>
        <v>(NULL,NULL,5,288,108,72,72,"$","4",NULL,NULL,0,0),</v>
      </c>
    </row>
    <row r="7" spans="1:16" x14ac:dyDescent="0.3">
      <c r="A7" s="1">
        <v>5</v>
      </c>
      <c r="B7" s="1">
        <f t="shared" si="0"/>
        <v>6</v>
      </c>
      <c r="C7" s="6" t="str">
        <f>IF(COUNTIF(PC.IT105.Inp!$C7:$L7,"")=10,"","NULL")</f>
        <v>NULL</v>
      </c>
      <c r="D7" s="6" t="str">
        <f>IF(COUNTIF(PC.IT105.Inp!$C7:$L7,"")=10,"","NULL")</f>
        <v>NULL</v>
      </c>
      <c r="E7" s="6">
        <f>IF(COUNTIF(PC.IT105.Inp!$C7:$L7,"")=10,"",$B7)</f>
        <v>6</v>
      </c>
      <c r="F7" s="6">
        <f>IF(COUNTIF(PC.IT105.Inp!$C7:$L7,"")=10,"",IF(PC.IT105.Inp!$C7="","NULL",PC.IT105.Inp!$C7))</f>
        <v>360</v>
      </c>
      <c r="G7" s="6">
        <f>IF(COUNTIF(PC.IT105.Inp!$C7:$L7,"")=10,"",IF(PC.IT105.Inp!$D7="","NULL",PC.IT105.Inp!$D7))</f>
        <v>108</v>
      </c>
      <c r="H7" s="6">
        <f>IF(COUNTIF(PC.IT105.Inp!$C7:$L7,"")=10,"",IF(PC.IT105.Inp!$E7="","NULL",PC.IT105.Inp!$E7))</f>
        <v>72</v>
      </c>
      <c r="I7" s="6">
        <f>IF(COUNTIF(PC.IT105.Inp!$C7:$L7,"")=10,"",IF(PC.IT105.Inp!$F7="","NULL",PC.IT105.Inp!$F7))</f>
        <v>72</v>
      </c>
      <c r="J7" s="6" t="str">
        <f>IF(COUNTIF(PC.IT105.Inp!$C7:$L7,"")=10,"",IF(PC.IT105.Inp!$G7="","NULL",""""&amp;PC.IT105.Inp!$G7&amp;""""))</f>
        <v>"%"</v>
      </c>
      <c r="K7" s="6" t="str">
        <f>IF(COUNTIF(PC.IT105.Inp!$C7:$L7,"")=10,"",IF(PC.IT105.Inp!$H7="","NULL",""""&amp;PC.IT105.Inp!$H7&amp;""""))</f>
        <v>"5"</v>
      </c>
      <c r="L7" s="6" t="str">
        <f>IF(COUNTIF(PC.IT105.Inp!$C7:$L7,"")=10,"",IF(PC.IT105.Inp!$I7="","NULL",""""&amp;PC.IT105.Inp!$I7&amp;""""))</f>
        <v>NULL</v>
      </c>
      <c r="M7" s="6" t="str">
        <f>IF(COUNTIF(PC.IT105.Inp!$C7:$L7,"")=10,"",IF(PC.IT105.Inp!$J7="","NULL",""""&amp;PC.IT105.Inp!$J7&amp;""""))</f>
        <v>"€"</v>
      </c>
      <c r="N7" s="6">
        <f>IF(COUNTIF(PC.IT105.Inp!$C7:$L7,"")=10,"",IF(PC.IT105.Inp!$K7="","NULL",PC.IT105.Inp!$K7))</f>
        <v>0</v>
      </c>
      <c r="O7" s="6">
        <f>IF(COUNTIF(PC.IT105.Inp!$C7:$L7,"")=10,"",IF(PC.IT105.Inp!$L7="","NULL",PC.IT105.Inp!$L7))</f>
        <v>0</v>
      </c>
      <c r="P7" s="7" t="str">
        <f>IF(COUNTIF(PC.TU105.Inp!$C7:$L7,"")=10,"","("&amp;aconcat($C7:$O7,",")&amp;"),")</f>
        <v>(NULL,NULL,6,360,108,72,72,"%","5",NULL,"€",0,0),</v>
      </c>
    </row>
    <row r="8" spans="1:16" x14ac:dyDescent="0.3">
      <c r="A8" s="1">
        <v>6</v>
      </c>
      <c r="B8" s="1">
        <f t="shared" si="0"/>
        <v>7</v>
      </c>
      <c r="C8" s="6" t="str">
        <f>IF(COUNTIF(PC.IT105.Inp!$C8:$L8,"")=10,"","NULL")</f>
        <v>NULL</v>
      </c>
      <c r="D8" s="6" t="str">
        <f>IF(COUNTIF(PC.IT105.Inp!$C8:$L8,"")=10,"","NULL")</f>
        <v>NULL</v>
      </c>
      <c r="E8" s="6">
        <f>IF(COUNTIF(PC.IT105.Inp!$C8:$L8,"")=10,"",$B8)</f>
        <v>7</v>
      </c>
      <c r="F8" s="6">
        <f>IF(COUNTIF(PC.IT105.Inp!$C8:$L8,"")=10,"",IF(PC.IT105.Inp!$C8="","NULL",PC.IT105.Inp!$C8))</f>
        <v>432</v>
      </c>
      <c r="G8" s="6">
        <f>IF(COUNTIF(PC.IT105.Inp!$C8:$L8,"")=10,"",IF(PC.IT105.Inp!$D8="","NULL",PC.IT105.Inp!$D8))</f>
        <v>108</v>
      </c>
      <c r="H8" s="6">
        <f>IF(COUNTIF(PC.IT105.Inp!$C8:$L8,"")=10,"",IF(PC.IT105.Inp!$E8="","NULL",PC.IT105.Inp!$E8))</f>
        <v>72</v>
      </c>
      <c r="I8" s="6">
        <f>IF(COUNTIF(PC.IT105.Inp!$C8:$L8,"")=10,"",IF(PC.IT105.Inp!$F8="","NULL",PC.IT105.Inp!$F8))</f>
        <v>72</v>
      </c>
      <c r="J8" s="6" t="str">
        <f>IF(COUNTIF(PC.IT105.Inp!$C8:$L8,"")=10,"",IF(PC.IT105.Inp!$G8="","NULL",""""&amp;PC.IT105.Inp!$G8&amp;""""))</f>
        <v>"&amp;"</v>
      </c>
      <c r="K8" s="6" t="str">
        <f>IF(COUNTIF(PC.IT105.Inp!$C8:$L8,"")=10,"",IF(PC.IT105.Inp!$H8="","NULL",""""&amp;PC.IT105.Inp!$H8&amp;""""))</f>
        <v>"6"</v>
      </c>
      <c r="L8" s="6" t="str">
        <f>IF(COUNTIF(PC.IT105.Inp!$C8:$L8,"")=10,"",IF(PC.IT105.Inp!$I8="","NULL",""""&amp;PC.IT105.Inp!$I8&amp;""""))</f>
        <v>NULL</v>
      </c>
      <c r="M8" s="6" t="str">
        <f>IF(COUNTIF(PC.IT105.Inp!$C8:$L8,"")=10,"",IF(PC.IT105.Inp!$J8="","NULL",""""&amp;PC.IT105.Inp!$J8&amp;""""))</f>
        <v>NULL</v>
      </c>
      <c r="N8" s="6">
        <f>IF(COUNTIF(PC.IT105.Inp!$C8:$L8,"")=10,"",IF(PC.IT105.Inp!$K8="","NULL",PC.IT105.Inp!$K8))</f>
        <v>0</v>
      </c>
      <c r="O8" s="6">
        <f>IF(COUNTIF(PC.IT105.Inp!$C8:$L8,"")=10,"",IF(PC.IT105.Inp!$L8="","NULL",PC.IT105.Inp!$L8))</f>
        <v>0</v>
      </c>
      <c r="P8" s="7" t="str">
        <f>IF(COUNTIF(PC.TU105.Inp!$C8:$L8,"")=10,"","("&amp;aconcat($C8:$O8,",")&amp;"),")</f>
        <v>(NULL,NULL,7,432,108,72,72,"&amp;","6",NULL,NULL,0,0),</v>
      </c>
    </row>
    <row r="9" spans="1:16" x14ac:dyDescent="0.3">
      <c r="A9" s="1">
        <v>7</v>
      </c>
      <c r="B9" s="1">
        <f t="shared" si="0"/>
        <v>8</v>
      </c>
      <c r="C9" s="6" t="str">
        <f>IF(COUNTIF(PC.IT105.Inp!$C9:$L9,"")=10,"","NULL")</f>
        <v>NULL</v>
      </c>
      <c r="D9" s="6" t="str">
        <f>IF(COUNTIF(PC.IT105.Inp!$C9:$L9,"")=10,"","NULL")</f>
        <v>NULL</v>
      </c>
      <c r="E9" s="6">
        <f>IF(COUNTIF(PC.IT105.Inp!$C9:$L9,"")=10,"",$B9)</f>
        <v>8</v>
      </c>
      <c r="F9" s="6">
        <f>IF(COUNTIF(PC.IT105.Inp!$C9:$L9,"")=10,"",IF(PC.IT105.Inp!$C9="","NULL",PC.IT105.Inp!$C9))</f>
        <v>504</v>
      </c>
      <c r="G9" s="6">
        <f>IF(COUNTIF(PC.IT105.Inp!$C9:$L9,"")=10,"",IF(PC.IT105.Inp!$D9="","NULL",PC.IT105.Inp!$D9))</f>
        <v>108</v>
      </c>
      <c r="H9" s="6">
        <f>IF(COUNTIF(PC.IT105.Inp!$C9:$L9,"")=10,"",IF(PC.IT105.Inp!$E9="","NULL",PC.IT105.Inp!$E9))</f>
        <v>72</v>
      </c>
      <c r="I9" s="6">
        <f>IF(COUNTIF(PC.IT105.Inp!$C9:$L9,"")=10,"",IF(PC.IT105.Inp!$F9="","NULL",PC.IT105.Inp!$F9))</f>
        <v>72</v>
      </c>
      <c r="J9" s="6" t="str">
        <f>IF(COUNTIF(PC.IT105.Inp!$C9:$L9,"")=10,"",IF(PC.IT105.Inp!$G9="","NULL",""""&amp;PC.IT105.Inp!$G9&amp;""""))</f>
        <v>"/"</v>
      </c>
      <c r="K9" s="6" t="str">
        <f>IF(COUNTIF(PC.IT105.Inp!$C9:$L9,"")=10,"",IF(PC.IT105.Inp!$H9="","NULL",""""&amp;PC.IT105.Inp!$H9&amp;""""))</f>
        <v>"7"</v>
      </c>
      <c r="L9" s="6" t="str">
        <f>IF(COUNTIF(PC.IT105.Inp!$C9:$L9,"")=10,"",IF(PC.IT105.Inp!$I9="","NULL",""""&amp;PC.IT105.Inp!$I9&amp;""""))</f>
        <v>NULL</v>
      </c>
      <c r="M9" s="6" t="str">
        <f>IF(COUNTIF(PC.IT105.Inp!$C9:$L9,"")=10,"",IF(PC.IT105.Inp!$J9="","NULL",""""&amp;PC.IT105.Inp!$J9&amp;""""))</f>
        <v>NULL</v>
      </c>
      <c r="N9" s="6">
        <f>IF(COUNTIF(PC.IT105.Inp!$C9:$L9,"")=10,"",IF(PC.IT105.Inp!$K9="","NULL",PC.IT105.Inp!$K9))</f>
        <v>0</v>
      </c>
      <c r="O9" s="6">
        <f>IF(COUNTIF(PC.IT105.Inp!$C9:$L9,"")=10,"",IF(PC.IT105.Inp!$L9="","NULL",PC.IT105.Inp!$L9))</f>
        <v>0</v>
      </c>
      <c r="P9" s="7" t="str">
        <f>IF(COUNTIF(PC.TU105.Inp!$C9:$L9,"")=10,"","("&amp;aconcat($C9:$O9,",")&amp;"),")</f>
        <v>(NULL,NULL,8,504,108,72,72,"/","7",NULL,NULL,0,0),</v>
      </c>
    </row>
    <row r="10" spans="1:16" x14ac:dyDescent="0.3">
      <c r="A10" s="1">
        <v>8</v>
      </c>
      <c r="B10" s="1">
        <f t="shared" si="0"/>
        <v>9</v>
      </c>
      <c r="C10" s="6" t="str">
        <f>IF(COUNTIF(PC.IT105.Inp!$C10:$L10,"")=10,"","NULL")</f>
        <v>NULL</v>
      </c>
      <c r="D10" s="6" t="str">
        <f>IF(COUNTIF(PC.IT105.Inp!$C10:$L10,"")=10,"","NULL")</f>
        <v>NULL</v>
      </c>
      <c r="E10" s="6">
        <f>IF(COUNTIF(PC.IT105.Inp!$C10:$L10,"")=10,"",$B10)</f>
        <v>9</v>
      </c>
      <c r="F10" s="6">
        <f>IF(COUNTIF(PC.IT105.Inp!$C10:$L10,"")=10,"",IF(PC.IT105.Inp!$C10="","NULL",PC.IT105.Inp!$C10))</f>
        <v>576</v>
      </c>
      <c r="G10" s="6">
        <f>IF(COUNTIF(PC.IT105.Inp!$C10:$L10,"")=10,"",IF(PC.IT105.Inp!$D10="","NULL",PC.IT105.Inp!$D10))</f>
        <v>108</v>
      </c>
      <c r="H10" s="6">
        <f>IF(COUNTIF(PC.IT105.Inp!$C10:$L10,"")=10,"",IF(PC.IT105.Inp!$E10="","NULL",PC.IT105.Inp!$E10))</f>
        <v>72</v>
      </c>
      <c r="I10" s="6">
        <f>IF(COUNTIF(PC.IT105.Inp!$C10:$L10,"")=10,"",IF(PC.IT105.Inp!$F10="","NULL",PC.IT105.Inp!$F10))</f>
        <v>72</v>
      </c>
      <c r="J10" s="6" t="str">
        <f>IF(COUNTIF(PC.IT105.Inp!$C10:$L10,"")=10,"",IF(PC.IT105.Inp!$G10="","NULL",""""&amp;PC.IT105.Inp!$G10&amp;""""))</f>
        <v>"("</v>
      </c>
      <c r="K10" s="6" t="str">
        <f>IF(COUNTIF(PC.IT105.Inp!$C10:$L10,"")=10,"",IF(PC.IT105.Inp!$H10="","NULL",""""&amp;PC.IT105.Inp!$H10&amp;""""))</f>
        <v>"8"</v>
      </c>
      <c r="L10" s="6" t="str">
        <f>IF(COUNTIF(PC.IT105.Inp!$C10:$L10,"")=10,"",IF(PC.IT105.Inp!$I10="","NULL",""""&amp;PC.IT105.Inp!$I10&amp;""""))</f>
        <v>NULL</v>
      </c>
      <c r="M10" s="6" t="str">
        <f>IF(COUNTIF(PC.IT105.Inp!$C10:$L10,"")=10,"",IF(PC.IT105.Inp!$J10="","NULL",""""&amp;PC.IT105.Inp!$J10&amp;""""))</f>
        <v>NULL</v>
      </c>
      <c r="N10" s="6">
        <f>IF(COUNTIF(PC.IT105.Inp!$C10:$L10,"")=10,"",IF(PC.IT105.Inp!$K10="","NULL",PC.IT105.Inp!$K10))</f>
        <v>0</v>
      </c>
      <c r="O10" s="6">
        <f>IF(COUNTIF(PC.IT105.Inp!$C10:$L10,"")=10,"",IF(PC.IT105.Inp!$L10="","NULL",PC.IT105.Inp!$L10))</f>
        <v>0</v>
      </c>
      <c r="P10" s="7" t="str">
        <f>IF(COUNTIF(PC.TU105.Inp!$C10:$L10,"")=10,"","("&amp;aconcat($C10:$O10,",")&amp;"),")</f>
        <v>(NULL,NULL,9,576,108,72,72,"(","8",NULL,NULL,0,0),</v>
      </c>
    </row>
    <row r="11" spans="1:16" x14ac:dyDescent="0.3">
      <c r="A11" s="1">
        <v>9</v>
      </c>
      <c r="B11" s="1">
        <f t="shared" si="0"/>
        <v>10</v>
      </c>
      <c r="C11" s="6" t="str">
        <f>IF(COUNTIF(PC.IT105.Inp!$C11:$L11,"")=10,"","NULL")</f>
        <v>NULL</v>
      </c>
      <c r="D11" s="6" t="str">
        <f>IF(COUNTIF(PC.IT105.Inp!$C11:$L11,"")=10,"","NULL")</f>
        <v>NULL</v>
      </c>
      <c r="E11" s="6">
        <f>IF(COUNTIF(PC.IT105.Inp!$C11:$L11,"")=10,"",$B11)</f>
        <v>10</v>
      </c>
      <c r="F11" s="6">
        <f>IF(COUNTIF(PC.IT105.Inp!$C11:$L11,"")=10,"",IF(PC.IT105.Inp!$C11="","NULL",PC.IT105.Inp!$C11))</f>
        <v>648</v>
      </c>
      <c r="G11" s="6">
        <f>IF(COUNTIF(PC.IT105.Inp!$C11:$L11,"")=10,"",IF(PC.IT105.Inp!$D11="","NULL",PC.IT105.Inp!$D11))</f>
        <v>108</v>
      </c>
      <c r="H11" s="6">
        <f>IF(COUNTIF(PC.IT105.Inp!$C11:$L11,"")=10,"",IF(PC.IT105.Inp!$E11="","NULL",PC.IT105.Inp!$E11))</f>
        <v>72</v>
      </c>
      <c r="I11" s="6">
        <f>IF(COUNTIF(PC.IT105.Inp!$C11:$L11,"")=10,"",IF(PC.IT105.Inp!$F11="","NULL",PC.IT105.Inp!$F11))</f>
        <v>72</v>
      </c>
      <c r="J11" s="6" t="str">
        <f>IF(COUNTIF(PC.IT105.Inp!$C11:$L11,"")=10,"",IF(PC.IT105.Inp!$G11="","NULL",""""&amp;PC.IT105.Inp!$G11&amp;""""))</f>
        <v>")"</v>
      </c>
      <c r="K11" s="6" t="str">
        <f>IF(COUNTIF(PC.IT105.Inp!$C11:$L11,"")=10,"",IF(PC.IT105.Inp!$H11="","NULL",""""&amp;PC.IT105.Inp!$H11&amp;""""))</f>
        <v>"9"</v>
      </c>
      <c r="L11" s="6" t="str">
        <f>IF(COUNTIF(PC.IT105.Inp!$C11:$L11,"")=10,"",IF(PC.IT105.Inp!$I11="","NULL",""""&amp;PC.IT105.Inp!$I11&amp;""""))</f>
        <v>NULL</v>
      </c>
      <c r="M11" s="6" t="str">
        <f>IF(COUNTIF(PC.IT105.Inp!$C11:$L11,"")=10,"",IF(PC.IT105.Inp!$J11="","NULL",""""&amp;PC.IT105.Inp!$J11&amp;""""))</f>
        <v>NULL</v>
      </c>
      <c r="N11" s="6">
        <f>IF(COUNTIF(PC.IT105.Inp!$C11:$L11,"")=10,"",IF(PC.IT105.Inp!$K11="","NULL",PC.IT105.Inp!$K11))</f>
        <v>0</v>
      </c>
      <c r="O11" s="6">
        <f>IF(COUNTIF(PC.IT105.Inp!$C11:$L11,"")=10,"",IF(PC.IT105.Inp!$L11="","NULL",PC.IT105.Inp!$L11))</f>
        <v>0</v>
      </c>
      <c r="P11" s="7" t="str">
        <f>IF(COUNTIF(PC.TU105.Inp!$C11:$L11,"")=10,"","("&amp;aconcat($C11:$O11,",")&amp;"),")</f>
        <v>(NULL,NULL,10,648,108,72,72,")","9",NULL,NULL,0,0),</v>
      </c>
    </row>
    <row r="12" spans="1:16" x14ac:dyDescent="0.3">
      <c r="A12" s="1">
        <v>0</v>
      </c>
      <c r="B12" s="1">
        <f t="shared" si="0"/>
        <v>11</v>
      </c>
      <c r="C12" s="6" t="str">
        <f>IF(COUNTIF(PC.IT105.Inp!$C12:$L12,"")=10,"","NULL")</f>
        <v>NULL</v>
      </c>
      <c r="D12" s="6" t="str">
        <f>IF(COUNTIF(PC.IT105.Inp!$C12:$L12,"")=10,"","NULL")</f>
        <v>NULL</v>
      </c>
      <c r="E12" s="6">
        <f>IF(COUNTIF(PC.IT105.Inp!$C12:$L12,"")=10,"",$B12)</f>
        <v>11</v>
      </c>
      <c r="F12" s="6">
        <f>IF(COUNTIF(PC.IT105.Inp!$C12:$L12,"")=10,"",IF(PC.IT105.Inp!$C12="","NULL",PC.IT105.Inp!$C12))</f>
        <v>720</v>
      </c>
      <c r="G12" s="6">
        <f>IF(COUNTIF(PC.IT105.Inp!$C12:$L12,"")=10,"",IF(PC.IT105.Inp!$D12="","NULL",PC.IT105.Inp!$D12))</f>
        <v>108</v>
      </c>
      <c r="H12" s="6">
        <f>IF(COUNTIF(PC.IT105.Inp!$C12:$L12,"")=10,"",IF(PC.IT105.Inp!$E12="","NULL",PC.IT105.Inp!$E12))</f>
        <v>72</v>
      </c>
      <c r="I12" s="6">
        <f>IF(COUNTIF(PC.IT105.Inp!$C12:$L12,"")=10,"",IF(PC.IT105.Inp!$F12="","NULL",PC.IT105.Inp!$F12))</f>
        <v>72</v>
      </c>
      <c r="J12" s="6" t="str">
        <f>IF(COUNTIF(PC.IT105.Inp!$C12:$L12,"")=10,"",IF(PC.IT105.Inp!$G12="","NULL",""""&amp;PC.IT105.Inp!$G12&amp;""""))</f>
        <v>"="</v>
      </c>
      <c r="K12" s="6" t="str">
        <f>IF(COUNTIF(PC.IT105.Inp!$C12:$L12,"")=10,"",IF(PC.IT105.Inp!$H12="","NULL",""""&amp;PC.IT105.Inp!$H12&amp;""""))</f>
        <v>"0"</v>
      </c>
      <c r="L12" s="6" t="str">
        <f>IF(COUNTIF(PC.IT105.Inp!$C12:$L12,"")=10,"",IF(PC.IT105.Inp!$I12="","NULL",""""&amp;PC.IT105.Inp!$I12&amp;""""))</f>
        <v>NULL</v>
      </c>
      <c r="M12" s="6" t="str">
        <f>IF(COUNTIF(PC.IT105.Inp!$C12:$L12,"")=10,"",IF(PC.IT105.Inp!$J12="","NULL",""""&amp;PC.IT105.Inp!$J12&amp;""""))</f>
        <v>NULL</v>
      </c>
      <c r="N12" s="6">
        <f>IF(COUNTIF(PC.IT105.Inp!$C12:$L12,"")=10,"",IF(PC.IT105.Inp!$K12="","NULL",PC.IT105.Inp!$K12))</f>
        <v>0</v>
      </c>
      <c r="O12" s="6">
        <f>IF(COUNTIF(PC.IT105.Inp!$C12:$L12,"")=10,"",IF(PC.IT105.Inp!$L12="","NULL",PC.IT105.Inp!$L12))</f>
        <v>0</v>
      </c>
      <c r="P12" s="7" t="str">
        <f>IF(COUNTIF(PC.TU105.Inp!$C12:$L12,"")=10,"","("&amp;aconcat($C12:$O12,",")&amp;"),")</f>
        <v>(NULL,NULL,11,720,108,72,72,"=","0",NULL,NULL,0,0),</v>
      </c>
    </row>
    <row r="13" spans="1:16" x14ac:dyDescent="0.3">
      <c r="A13" s="1" t="s">
        <v>88</v>
      </c>
      <c r="B13" s="1">
        <f t="shared" si="0"/>
        <v>12</v>
      </c>
      <c r="C13" s="6" t="str">
        <f>IF(COUNTIF(PC.IT105.Inp!$C13:$L13,"")=10,"","NULL")</f>
        <v>NULL</v>
      </c>
      <c r="D13" s="6" t="str">
        <f>IF(COUNTIF(PC.IT105.Inp!$C13:$L13,"")=10,"","NULL")</f>
        <v>NULL</v>
      </c>
      <c r="E13" s="6">
        <f>IF(COUNTIF(PC.IT105.Inp!$C13:$L13,"")=10,"",$B13)</f>
        <v>12</v>
      </c>
      <c r="F13" s="6">
        <f>IF(COUNTIF(PC.IT105.Inp!$C13:$L13,"")=10,"",IF(PC.IT105.Inp!$C13="","NULL",PC.IT105.Inp!$C13))</f>
        <v>792</v>
      </c>
      <c r="G13" s="6">
        <f>IF(COUNTIF(PC.IT105.Inp!$C13:$L13,"")=10,"",IF(PC.IT105.Inp!$D13="","NULL",PC.IT105.Inp!$D13))</f>
        <v>108</v>
      </c>
      <c r="H13" s="6">
        <f>IF(COUNTIF(PC.IT105.Inp!$C13:$L13,"")=10,"",IF(PC.IT105.Inp!$E13="","NULL",PC.IT105.Inp!$E13))</f>
        <v>72</v>
      </c>
      <c r="I13" s="6">
        <f>IF(COUNTIF(PC.IT105.Inp!$C13:$L13,"")=10,"",IF(PC.IT105.Inp!$F13="","NULL",PC.IT105.Inp!$F13))</f>
        <v>72</v>
      </c>
      <c r="J13" s="6" t="str">
        <f>IF(COUNTIF(PC.IT105.Inp!$C13:$L13,"")=10,"",IF(PC.IT105.Inp!$G13="","NULL",""""&amp;PC.IT105.Inp!$G13&amp;""""))</f>
        <v>"?"</v>
      </c>
      <c r="K13" s="6" t="str">
        <f>IF(COUNTIF(PC.IT105.Inp!$C13:$L13,"")=10,"",IF(PC.IT105.Inp!$H13="","NULL",""""&amp;PC.IT105.Inp!$H13&amp;""""))</f>
        <v>"\'"</v>
      </c>
      <c r="L13" s="6" t="str">
        <f>IF(COUNTIF(PC.IT105.Inp!$C13:$L13,"")=10,"",IF(PC.IT105.Inp!$I13="","NULL",""""&amp;PC.IT105.Inp!$I13&amp;""""))</f>
        <v>NULL</v>
      </c>
      <c r="M13" s="6" t="str">
        <f>IF(COUNTIF(PC.IT105.Inp!$C13:$L13,"")=10,"",IF(PC.IT105.Inp!$J13="","NULL",""""&amp;PC.IT105.Inp!$J13&amp;""""))</f>
        <v>NULL</v>
      </c>
      <c r="N13" s="6">
        <f>IF(COUNTIF(PC.IT105.Inp!$C13:$L13,"")=10,"",IF(PC.IT105.Inp!$K13="","NULL",PC.IT105.Inp!$K13))</f>
        <v>0</v>
      </c>
      <c r="O13" s="6">
        <f>IF(COUNTIF(PC.IT105.Inp!$C13:$L13,"")=10,"",IF(PC.IT105.Inp!$L13="","NULL",PC.IT105.Inp!$L13))</f>
        <v>0</v>
      </c>
      <c r="P13" s="7" t="str">
        <f>IF(COUNTIF(PC.TU105.Inp!$C13:$L13,"")=10,"","("&amp;aconcat($C13:$O13,",")&amp;"),")</f>
        <v>(NULL,NULL,12,792,108,72,72,"?","\'",NULL,NULL,0,0),</v>
      </c>
    </row>
    <row r="14" spans="1:16" x14ac:dyDescent="0.3">
      <c r="A14" s="1" t="s">
        <v>201</v>
      </c>
      <c r="B14" s="1">
        <f t="shared" si="0"/>
        <v>13</v>
      </c>
      <c r="C14" s="6" t="str">
        <f>IF(COUNTIF(PC.IT105.Inp!$C14:$L14,"")=10,"","NULL")</f>
        <v>NULL</v>
      </c>
      <c r="D14" s="6" t="str">
        <f>IF(COUNTIF(PC.IT105.Inp!$C14:$L14,"")=10,"","NULL")</f>
        <v>NULL</v>
      </c>
      <c r="E14" s="6">
        <f>IF(COUNTIF(PC.IT105.Inp!$C14:$L14,"")=10,"",$B14)</f>
        <v>13</v>
      </c>
      <c r="F14" s="6">
        <f>IF(COUNTIF(PC.IT105.Inp!$C14:$L14,"")=10,"",IF(PC.IT105.Inp!$C14="","NULL",PC.IT105.Inp!$C14))</f>
        <v>864</v>
      </c>
      <c r="G14" s="6">
        <f>IF(COUNTIF(PC.IT105.Inp!$C14:$L14,"")=10,"",IF(PC.IT105.Inp!$D14="","NULL",PC.IT105.Inp!$D14))</f>
        <v>108</v>
      </c>
      <c r="H14" s="6">
        <f>IF(COUNTIF(PC.IT105.Inp!$C14:$L14,"")=10,"",IF(PC.IT105.Inp!$E14="","NULL",PC.IT105.Inp!$E14))</f>
        <v>72</v>
      </c>
      <c r="I14" s="6">
        <f>IF(COUNTIF(PC.IT105.Inp!$C14:$L14,"")=10,"",IF(PC.IT105.Inp!$F14="","NULL",PC.IT105.Inp!$F14))</f>
        <v>72</v>
      </c>
      <c r="J14" s="6" t="str">
        <f>IF(COUNTIF(PC.IT105.Inp!$C14:$L14,"")=10,"",IF(PC.IT105.Inp!$G14="","NULL",""""&amp;PC.IT105.Inp!$G14&amp;""""))</f>
        <v>"^"</v>
      </c>
      <c r="K14" s="6" t="str">
        <f>IF(COUNTIF(PC.IT105.Inp!$C14:$L14,"")=10,"",IF(PC.IT105.Inp!$H14="","NULL",""""&amp;PC.IT105.Inp!$H14&amp;""""))</f>
        <v>"ì"</v>
      </c>
      <c r="L14" s="6" t="str">
        <f>IF(COUNTIF(PC.IT105.Inp!$C14:$L14,"")=10,"",IF(PC.IT105.Inp!$I14="","NULL",""""&amp;PC.IT105.Inp!$I14&amp;""""))</f>
        <v>NULL</v>
      </c>
      <c r="M14" s="6" t="str">
        <f>IF(COUNTIF(PC.IT105.Inp!$C14:$L14,"")=10,"",IF(PC.IT105.Inp!$J14="","NULL",""""&amp;PC.IT105.Inp!$J14&amp;""""))</f>
        <v>NULL</v>
      </c>
      <c r="N14" s="6">
        <f>IF(COUNTIF(PC.IT105.Inp!$C14:$L14,"")=10,"",IF(PC.IT105.Inp!$K14="","NULL",PC.IT105.Inp!$K14))</f>
        <v>0</v>
      </c>
      <c r="O14" s="6">
        <f>IF(COUNTIF(PC.IT105.Inp!$C14:$L14,"")=10,"",IF(PC.IT105.Inp!$L14="","NULL",PC.IT105.Inp!$L14))</f>
        <v>0</v>
      </c>
      <c r="P14" s="7" t="str">
        <f>IF(COUNTIF(PC.TU105.Inp!$C14:$L14,"")=10,"","("&amp;aconcat($C14:$O14,",")&amp;"),")</f>
        <v>(NULL,NULL,13,864,108,72,72,"^","ì",NULL,NULL,0,0),</v>
      </c>
    </row>
    <row r="15" spans="1:16" x14ac:dyDescent="0.3">
      <c r="A15" s="1" t="s">
        <v>163</v>
      </c>
      <c r="B15" s="1">
        <f t="shared" si="0"/>
        <v>14</v>
      </c>
      <c r="C15" s="6" t="str">
        <f>IF(COUNTIF(PC.IT105.Inp!$C15:$L15,"")=10,"","NULL")</f>
        <v>NULL</v>
      </c>
      <c r="D15" s="6" t="str">
        <f>IF(COUNTIF(PC.IT105.Inp!$C15:$L15,"")=10,"","NULL")</f>
        <v>NULL</v>
      </c>
      <c r="E15" s="6">
        <f>IF(COUNTIF(PC.IT105.Inp!$C15:$L15,"")=10,"",$B15)</f>
        <v>14</v>
      </c>
      <c r="F15" s="6">
        <f>IF(COUNTIF(PC.IT105.Inp!$C15:$L15,"")=10,"",IF(PC.IT105.Inp!$C15="","NULL",PC.IT105.Inp!$C15))</f>
        <v>936</v>
      </c>
      <c r="G15" s="6">
        <f>IF(COUNTIF(PC.IT105.Inp!$C15:$L15,"")=10,"",IF(PC.IT105.Inp!$D15="","NULL",PC.IT105.Inp!$D15))</f>
        <v>108</v>
      </c>
      <c r="H15" s="6">
        <f>IF(COUNTIF(PC.IT105.Inp!$C15:$L15,"")=10,"",IF(PC.IT105.Inp!$E15="","NULL",PC.IT105.Inp!$E15))</f>
        <v>144</v>
      </c>
      <c r="I15" s="6">
        <f>IF(COUNTIF(PC.IT105.Inp!$C15:$L15,"")=10,"",IF(PC.IT105.Inp!$F15="","NULL",PC.IT105.Inp!$F15))</f>
        <v>72</v>
      </c>
      <c r="J15" s="6" t="str">
        <f>IF(COUNTIF(PC.IT105.Inp!$C15:$L15,"")=10,"",IF(PC.IT105.Inp!$G15="","NULL",""""&amp;PC.IT105.Inp!$G15&amp;""""))</f>
        <v>NULL</v>
      </c>
      <c r="K15" s="6" t="str">
        <f>IF(COUNTIF(PC.IT105.Inp!$C15:$L15,"")=10,"",IF(PC.IT105.Inp!$H15="","NULL",""""&amp;PC.IT105.Inp!$H15&amp;""""))</f>
        <v>"Backspace"</v>
      </c>
      <c r="L15" s="6" t="str">
        <f>IF(COUNTIF(PC.IT105.Inp!$C15:$L15,"")=10,"",IF(PC.IT105.Inp!$I15="","NULL",""""&amp;PC.IT105.Inp!$I15&amp;""""))</f>
        <v>NULL</v>
      </c>
      <c r="M15" s="6" t="str">
        <f>IF(COUNTIF(PC.IT105.Inp!$C15:$L15,"")=10,"",IF(PC.IT105.Inp!$J15="","NULL",""""&amp;PC.IT105.Inp!$J15&amp;""""))</f>
        <v>NULL</v>
      </c>
      <c r="N15" s="6">
        <f>IF(COUNTIF(PC.IT105.Inp!$C15:$L15,"")=10,"",IF(PC.IT105.Inp!$K15="","NULL",PC.IT105.Inp!$K15))</f>
        <v>0</v>
      </c>
      <c r="O15" s="6">
        <f>IF(COUNTIF(PC.IT105.Inp!$C15:$L15,"")=10,"",IF(PC.IT105.Inp!$L15="","NULL",PC.IT105.Inp!$L15))</f>
        <v>0</v>
      </c>
      <c r="P15" s="7" t="str">
        <f>IF(COUNTIF(PC.TU105.Inp!$C15:$L15,"")=10,"","("&amp;aconcat($C15:$O15,",")&amp;"),")</f>
        <v>(NULL,NULL,14,936,108,144,72,NULL,"Backspace",NULL,NULL,0,0),</v>
      </c>
    </row>
    <row r="16" spans="1:16" x14ac:dyDescent="0.3">
      <c r="A16" s="1" t="s">
        <v>164</v>
      </c>
      <c r="B16" s="1">
        <f t="shared" si="0"/>
        <v>15</v>
      </c>
      <c r="C16" s="6" t="str">
        <f>IF(COUNTIF(PC.IT105.Inp!$C16:$L16,"")=10,"","NULL")</f>
        <v>NULL</v>
      </c>
      <c r="D16" s="6" t="str">
        <f>IF(COUNTIF(PC.IT105.Inp!$C16:$L16,"")=10,"","NULL")</f>
        <v>NULL</v>
      </c>
      <c r="E16" s="6">
        <f>IF(COUNTIF(PC.IT105.Inp!$C16:$L16,"")=10,"",$B16)</f>
        <v>15</v>
      </c>
      <c r="F16" s="6">
        <f>IF(COUNTIF(PC.IT105.Inp!$C16:$L16,"")=10,"",IF(PC.IT105.Inp!$C16="","NULL",PC.IT105.Inp!$C16))</f>
        <v>0</v>
      </c>
      <c r="G16" s="6">
        <f>IF(COUNTIF(PC.IT105.Inp!$C16:$L16,"")=10,"",IF(PC.IT105.Inp!$D16="","NULL",PC.IT105.Inp!$D16))</f>
        <v>180</v>
      </c>
      <c r="H16" s="6">
        <f>IF(COUNTIF(PC.IT105.Inp!$C16:$L16,"")=10,"",IF(PC.IT105.Inp!$E16="","NULL",PC.IT105.Inp!$E16))</f>
        <v>108</v>
      </c>
      <c r="I16" s="6">
        <f>IF(COUNTIF(PC.IT105.Inp!$C16:$L16,"")=10,"",IF(PC.IT105.Inp!$F16="","NULL",PC.IT105.Inp!$F16))</f>
        <v>72</v>
      </c>
      <c r="J16" s="6" t="str">
        <f>IF(COUNTIF(PC.IT105.Inp!$C16:$L16,"")=10,"",IF(PC.IT105.Inp!$G16="","NULL",""""&amp;PC.IT105.Inp!$G16&amp;""""))</f>
        <v>NULL</v>
      </c>
      <c r="K16" s="6" t="str">
        <f>IF(COUNTIF(PC.IT105.Inp!$C16:$L16,"")=10,"",IF(PC.IT105.Inp!$H16="","NULL",""""&amp;PC.IT105.Inp!$H16&amp;""""))</f>
        <v>"Tab"</v>
      </c>
      <c r="L16" s="6" t="str">
        <f>IF(COUNTIF(PC.IT105.Inp!$C16:$L16,"")=10,"",IF(PC.IT105.Inp!$I16="","NULL",""""&amp;PC.IT105.Inp!$I16&amp;""""))</f>
        <v>NULL</v>
      </c>
      <c r="M16" s="6" t="str">
        <f>IF(COUNTIF(PC.IT105.Inp!$C16:$L16,"")=10,"",IF(PC.IT105.Inp!$J16="","NULL",""""&amp;PC.IT105.Inp!$J16&amp;""""))</f>
        <v>NULL</v>
      </c>
      <c r="N16" s="6">
        <f>IF(COUNTIF(PC.IT105.Inp!$C16:$L16,"")=10,"",IF(PC.IT105.Inp!$K16="","NULL",PC.IT105.Inp!$K16))</f>
        <v>0</v>
      </c>
      <c r="O16" s="6">
        <f>IF(COUNTIF(PC.IT105.Inp!$C16:$L16,"")=10,"",IF(PC.IT105.Inp!$L16="","NULL",PC.IT105.Inp!$L16))</f>
        <v>0</v>
      </c>
      <c r="P16" s="7" t="str">
        <f>IF(COUNTIF(PC.TU105.Inp!$C16:$L16,"")=10,"","("&amp;aconcat($C16:$O16,",")&amp;"),")</f>
        <v>(NULL,NULL,15,0,180,108,72,NULL,"Tab",NULL,NULL,0,0),</v>
      </c>
    </row>
    <row r="17" spans="1:16" x14ac:dyDescent="0.3">
      <c r="A17" s="1" t="s">
        <v>39</v>
      </c>
      <c r="B17" s="1">
        <f t="shared" si="0"/>
        <v>16</v>
      </c>
      <c r="C17" s="6" t="str">
        <f>IF(COUNTIF(PC.IT105.Inp!$C17:$L17,"")=10,"","NULL")</f>
        <v>NULL</v>
      </c>
      <c r="D17" s="6" t="str">
        <f>IF(COUNTIF(PC.IT105.Inp!$C17:$L17,"")=10,"","NULL")</f>
        <v>NULL</v>
      </c>
      <c r="E17" s="6">
        <f>IF(COUNTIF(PC.IT105.Inp!$C17:$L17,"")=10,"",$B17)</f>
        <v>16</v>
      </c>
      <c r="F17" s="6">
        <f>IF(COUNTIF(PC.IT105.Inp!$C17:$L17,"")=10,"",IF(PC.IT105.Inp!$C17="","NULL",PC.IT105.Inp!$C17))</f>
        <v>108</v>
      </c>
      <c r="G17" s="6">
        <f>IF(COUNTIF(PC.IT105.Inp!$C17:$L17,"")=10,"",IF(PC.IT105.Inp!$D17="","NULL",PC.IT105.Inp!$D17))</f>
        <v>180</v>
      </c>
      <c r="H17" s="6">
        <f>IF(COUNTIF(PC.IT105.Inp!$C17:$L17,"")=10,"",IF(PC.IT105.Inp!$E17="","NULL",PC.IT105.Inp!$E17))</f>
        <v>72</v>
      </c>
      <c r="I17" s="6">
        <f>IF(COUNTIF(PC.IT105.Inp!$C17:$L17,"")=10,"",IF(PC.IT105.Inp!$F17="","NULL",PC.IT105.Inp!$F17))</f>
        <v>72</v>
      </c>
      <c r="J17" s="6" t="str">
        <f>IF(COUNTIF(PC.IT105.Inp!$C17:$L17,"")=10,"",IF(PC.IT105.Inp!$G17="","NULL",""""&amp;PC.IT105.Inp!$G17&amp;""""))</f>
        <v>"Q"</v>
      </c>
      <c r="K17" s="6" t="str">
        <f>IF(COUNTIF(PC.IT105.Inp!$C17:$L17,"")=10,"",IF(PC.IT105.Inp!$H17="","NULL",""""&amp;PC.IT105.Inp!$H17&amp;""""))</f>
        <v>"q"</v>
      </c>
      <c r="L17" s="6" t="str">
        <f>IF(COUNTIF(PC.IT105.Inp!$C17:$L17,"")=10,"",IF(PC.IT105.Inp!$I17="","NULL",""""&amp;PC.IT105.Inp!$I17&amp;""""))</f>
        <v>NULL</v>
      </c>
      <c r="M17" s="6" t="str">
        <f>IF(COUNTIF(PC.IT105.Inp!$C17:$L17,"")=10,"",IF(PC.IT105.Inp!$J17="","NULL",""""&amp;PC.IT105.Inp!$J17&amp;""""))</f>
        <v>NULL</v>
      </c>
      <c r="N17" s="6">
        <f>IF(COUNTIF(PC.IT105.Inp!$C17:$L17,"")=10,"",IF(PC.IT105.Inp!$K17="","NULL",PC.IT105.Inp!$K17))</f>
        <v>1</v>
      </c>
      <c r="O17" s="6">
        <f>IF(COUNTIF(PC.IT105.Inp!$C17:$L17,"")=10,"",IF(PC.IT105.Inp!$L17="","NULL",PC.IT105.Inp!$L17))</f>
        <v>0</v>
      </c>
      <c r="P17" s="7" t="str">
        <f>IF(COUNTIF(PC.TU105.Inp!$C17:$L17,"")=10,"","("&amp;aconcat($C17:$O17,",")&amp;"),")</f>
        <v>(NULL,NULL,16,108,180,72,72,"Q","q",NULL,NULL,1,0),</v>
      </c>
    </row>
    <row r="18" spans="1:16" x14ac:dyDescent="0.3">
      <c r="A18" s="1" t="s">
        <v>42</v>
      </c>
      <c r="B18" s="1">
        <f t="shared" si="0"/>
        <v>17</v>
      </c>
      <c r="C18" s="6" t="str">
        <f>IF(COUNTIF(PC.IT105.Inp!$C18:$L18,"")=10,"","NULL")</f>
        <v>NULL</v>
      </c>
      <c r="D18" s="6" t="str">
        <f>IF(COUNTIF(PC.IT105.Inp!$C18:$L18,"")=10,"","NULL")</f>
        <v>NULL</v>
      </c>
      <c r="E18" s="6">
        <f>IF(COUNTIF(PC.IT105.Inp!$C18:$L18,"")=10,"",$B18)</f>
        <v>17</v>
      </c>
      <c r="F18" s="6">
        <f>IF(COUNTIF(PC.IT105.Inp!$C18:$L18,"")=10,"",IF(PC.IT105.Inp!$C18="","NULL",PC.IT105.Inp!$C18))</f>
        <v>180</v>
      </c>
      <c r="G18" s="6">
        <f>IF(COUNTIF(PC.IT105.Inp!$C18:$L18,"")=10,"",IF(PC.IT105.Inp!$D18="","NULL",PC.IT105.Inp!$D18))</f>
        <v>180</v>
      </c>
      <c r="H18" s="6">
        <f>IF(COUNTIF(PC.IT105.Inp!$C18:$L18,"")=10,"",IF(PC.IT105.Inp!$E18="","NULL",PC.IT105.Inp!$E18))</f>
        <v>72</v>
      </c>
      <c r="I18" s="6">
        <f>IF(COUNTIF(PC.IT105.Inp!$C18:$L18,"")=10,"",IF(PC.IT105.Inp!$F18="","NULL",PC.IT105.Inp!$F18))</f>
        <v>72</v>
      </c>
      <c r="J18" s="6" t="str">
        <f>IF(COUNTIF(PC.IT105.Inp!$C18:$L18,"")=10,"",IF(PC.IT105.Inp!$G18="","NULL",""""&amp;PC.IT105.Inp!$G18&amp;""""))</f>
        <v>"W"</v>
      </c>
      <c r="K18" s="6" t="str">
        <f>IF(COUNTIF(PC.IT105.Inp!$C18:$L18,"")=10,"",IF(PC.IT105.Inp!$H18="","NULL",""""&amp;PC.IT105.Inp!$H18&amp;""""))</f>
        <v>"w"</v>
      </c>
      <c r="L18" s="6" t="str">
        <f>IF(COUNTIF(PC.IT105.Inp!$C18:$L18,"")=10,"",IF(PC.IT105.Inp!$I18="","NULL",""""&amp;PC.IT105.Inp!$I18&amp;""""))</f>
        <v>NULL</v>
      </c>
      <c r="M18" s="6" t="str">
        <f>IF(COUNTIF(PC.IT105.Inp!$C18:$L18,"")=10,"",IF(PC.IT105.Inp!$J18="","NULL",""""&amp;PC.IT105.Inp!$J18&amp;""""))</f>
        <v>NULL</v>
      </c>
      <c r="N18" s="6">
        <f>IF(COUNTIF(PC.IT105.Inp!$C18:$L18,"")=10,"",IF(PC.IT105.Inp!$K18="","NULL",PC.IT105.Inp!$K18))</f>
        <v>1</v>
      </c>
      <c r="O18" s="6">
        <f>IF(COUNTIF(PC.IT105.Inp!$C18:$L18,"")=10,"",IF(PC.IT105.Inp!$L18="","NULL",PC.IT105.Inp!$L18))</f>
        <v>0</v>
      </c>
      <c r="P18" s="7" t="str">
        <f>IF(COUNTIF(PC.TU105.Inp!$C18:$L18,"")=10,"","("&amp;aconcat($C18:$O18,",")&amp;"),")</f>
        <v>(NULL,NULL,17,180,180,72,72,"W","w",NULL,NULL,1,0),</v>
      </c>
    </row>
    <row r="19" spans="1:16" x14ac:dyDescent="0.3">
      <c r="A19" s="1" t="s">
        <v>44</v>
      </c>
      <c r="B19" s="1">
        <f t="shared" si="0"/>
        <v>18</v>
      </c>
      <c r="C19" s="6" t="str">
        <f>IF(COUNTIF(PC.IT105.Inp!$C19:$L19,"")=10,"","NULL")</f>
        <v>NULL</v>
      </c>
      <c r="D19" s="6" t="str">
        <f>IF(COUNTIF(PC.IT105.Inp!$C19:$L19,"")=10,"","NULL")</f>
        <v>NULL</v>
      </c>
      <c r="E19" s="6">
        <f>IF(COUNTIF(PC.IT105.Inp!$C19:$L19,"")=10,"",$B19)</f>
        <v>18</v>
      </c>
      <c r="F19" s="6">
        <f>IF(COUNTIF(PC.IT105.Inp!$C19:$L19,"")=10,"",IF(PC.IT105.Inp!$C19="","NULL",PC.IT105.Inp!$C19))</f>
        <v>252</v>
      </c>
      <c r="G19" s="6">
        <f>IF(COUNTIF(PC.IT105.Inp!$C19:$L19,"")=10,"",IF(PC.IT105.Inp!$D19="","NULL",PC.IT105.Inp!$D19))</f>
        <v>180</v>
      </c>
      <c r="H19" s="6">
        <f>IF(COUNTIF(PC.IT105.Inp!$C19:$L19,"")=10,"",IF(PC.IT105.Inp!$E19="","NULL",PC.IT105.Inp!$E19))</f>
        <v>72</v>
      </c>
      <c r="I19" s="6">
        <f>IF(COUNTIF(PC.IT105.Inp!$C19:$L19,"")=10,"",IF(PC.IT105.Inp!$F19="","NULL",PC.IT105.Inp!$F19))</f>
        <v>72</v>
      </c>
      <c r="J19" s="6" t="str">
        <f>IF(COUNTIF(PC.IT105.Inp!$C19:$L19,"")=10,"",IF(PC.IT105.Inp!$G19="","NULL",""""&amp;PC.IT105.Inp!$G19&amp;""""))</f>
        <v>"E"</v>
      </c>
      <c r="K19" s="6" t="str">
        <f>IF(COUNTIF(PC.IT105.Inp!$C19:$L19,"")=10,"",IF(PC.IT105.Inp!$H19="","NULL",""""&amp;PC.IT105.Inp!$H19&amp;""""))</f>
        <v>"e"</v>
      </c>
      <c r="L19" s="6" t="str">
        <f>IF(COUNTIF(PC.IT105.Inp!$C19:$L19,"")=10,"",IF(PC.IT105.Inp!$I19="","NULL",""""&amp;PC.IT105.Inp!$I19&amp;""""))</f>
        <v>NULL</v>
      </c>
      <c r="M19" s="6" t="str">
        <f>IF(COUNTIF(PC.IT105.Inp!$C19:$L19,"")=10,"",IF(PC.IT105.Inp!$J19="","NULL",""""&amp;PC.IT105.Inp!$J19&amp;""""))</f>
        <v>"€"</v>
      </c>
      <c r="N19" s="6">
        <f>IF(COUNTIF(PC.IT105.Inp!$C19:$L19,"")=10,"",IF(PC.IT105.Inp!$K19="","NULL",PC.IT105.Inp!$K19))</f>
        <v>1</v>
      </c>
      <c r="O19" s="6">
        <f>IF(COUNTIF(PC.IT105.Inp!$C19:$L19,"")=10,"",IF(PC.IT105.Inp!$L19="","NULL",PC.IT105.Inp!$L19))</f>
        <v>0</v>
      </c>
      <c r="P19" s="7" t="str">
        <f>IF(COUNTIF(PC.TU105.Inp!$C19:$L19,"")=10,"","("&amp;aconcat($C19:$O19,",")&amp;"),")</f>
        <v>(NULL,NULL,18,252,180,72,72,"E","e",NULL,"€",1,0),</v>
      </c>
    </row>
    <row r="20" spans="1:16" x14ac:dyDescent="0.3">
      <c r="A20" s="1" t="s">
        <v>47</v>
      </c>
      <c r="B20" s="1">
        <f t="shared" si="0"/>
        <v>19</v>
      </c>
      <c r="C20" s="6" t="str">
        <f>IF(COUNTIF(PC.IT105.Inp!$C20:$L20,"")=10,"","NULL")</f>
        <v>NULL</v>
      </c>
      <c r="D20" s="6" t="str">
        <f>IF(COUNTIF(PC.IT105.Inp!$C20:$L20,"")=10,"","NULL")</f>
        <v>NULL</v>
      </c>
      <c r="E20" s="6">
        <f>IF(COUNTIF(PC.IT105.Inp!$C20:$L20,"")=10,"",$B20)</f>
        <v>19</v>
      </c>
      <c r="F20" s="6">
        <f>IF(COUNTIF(PC.IT105.Inp!$C20:$L20,"")=10,"",IF(PC.IT105.Inp!$C20="","NULL",PC.IT105.Inp!$C20))</f>
        <v>324</v>
      </c>
      <c r="G20" s="6">
        <f>IF(COUNTIF(PC.IT105.Inp!$C20:$L20,"")=10,"",IF(PC.IT105.Inp!$D20="","NULL",PC.IT105.Inp!$D20))</f>
        <v>180</v>
      </c>
      <c r="H20" s="6">
        <f>IF(COUNTIF(PC.IT105.Inp!$C20:$L20,"")=10,"",IF(PC.IT105.Inp!$E20="","NULL",PC.IT105.Inp!$E20))</f>
        <v>72</v>
      </c>
      <c r="I20" s="6">
        <f>IF(COUNTIF(PC.IT105.Inp!$C20:$L20,"")=10,"",IF(PC.IT105.Inp!$F20="","NULL",PC.IT105.Inp!$F20))</f>
        <v>72</v>
      </c>
      <c r="J20" s="6" t="str">
        <f>IF(COUNTIF(PC.IT105.Inp!$C20:$L20,"")=10,"",IF(PC.IT105.Inp!$G20="","NULL",""""&amp;PC.IT105.Inp!$G20&amp;""""))</f>
        <v>"R"</v>
      </c>
      <c r="K20" s="6" t="str">
        <f>IF(COUNTIF(PC.IT105.Inp!$C20:$L20,"")=10,"",IF(PC.IT105.Inp!$H20="","NULL",""""&amp;PC.IT105.Inp!$H20&amp;""""))</f>
        <v>"r"</v>
      </c>
      <c r="L20" s="6" t="str">
        <f>IF(COUNTIF(PC.IT105.Inp!$C20:$L20,"")=10,"",IF(PC.IT105.Inp!$I20="","NULL",""""&amp;PC.IT105.Inp!$I20&amp;""""))</f>
        <v>NULL</v>
      </c>
      <c r="M20" s="6" t="str">
        <f>IF(COUNTIF(PC.IT105.Inp!$C20:$L20,"")=10,"",IF(PC.IT105.Inp!$J20="","NULL",""""&amp;PC.IT105.Inp!$J20&amp;""""))</f>
        <v>NULL</v>
      </c>
      <c r="N20" s="6">
        <f>IF(COUNTIF(PC.IT105.Inp!$C20:$L20,"")=10,"",IF(PC.IT105.Inp!$K20="","NULL",PC.IT105.Inp!$K20))</f>
        <v>1</v>
      </c>
      <c r="O20" s="6">
        <f>IF(COUNTIF(PC.IT105.Inp!$C20:$L20,"")=10,"",IF(PC.IT105.Inp!$L20="","NULL",PC.IT105.Inp!$L20))</f>
        <v>0</v>
      </c>
      <c r="P20" s="7" t="str">
        <f>IF(COUNTIF(PC.TU105.Inp!$C20:$L20,"")=10,"","("&amp;aconcat($C20:$O20,",")&amp;"),")</f>
        <v>(NULL,NULL,19,324,180,72,72,"R","r",NULL,NULL,1,0),</v>
      </c>
    </row>
    <row r="21" spans="1:16" x14ac:dyDescent="0.3">
      <c r="A21" s="1" t="s">
        <v>49</v>
      </c>
      <c r="B21" s="1">
        <f t="shared" si="0"/>
        <v>20</v>
      </c>
      <c r="C21" s="6" t="str">
        <f>IF(COUNTIF(PC.IT105.Inp!$C21:$L21,"")=10,"","NULL")</f>
        <v>NULL</v>
      </c>
      <c r="D21" s="6" t="str">
        <f>IF(COUNTIF(PC.IT105.Inp!$C21:$L21,"")=10,"","NULL")</f>
        <v>NULL</v>
      </c>
      <c r="E21" s="6">
        <f>IF(COUNTIF(PC.IT105.Inp!$C21:$L21,"")=10,"",$B21)</f>
        <v>20</v>
      </c>
      <c r="F21" s="6">
        <f>IF(COUNTIF(PC.IT105.Inp!$C21:$L21,"")=10,"",IF(PC.IT105.Inp!$C21="","NULL",PC.IT105.Inp!$C21))</f>
        <v>396</v>
      </c>
      <c r="G21" s="6">
        <f>IF(COUNTIF(PC.IT105.Inp!$C21:$L21,"")=10,"",IF(PC.IT105.Inp!$D21="","NULL",PC.IT105.Inp!$D21))</f>
        <v>180</v>
      </c>
      <c r="H21" s="6">
        <f>IF(COUNTIF(PC.IT105.Inp!$C21:$L21,"")=10,"",IF(PC.IT105.Inp!$E21="","NULL",PC.IT105.Inp!$E21))</f>
        <v>72</v>
      </c>
      <c r="I21" s="6">
        <f>IF(COUNTIF(PC.IT105.Inp!$C21:$L21,"")=10,"",IF(PC.IT105.Inp!$F21="","NULL",PC.IT105.Inp!$F21))</f>
        <v>72</v>
      </c>
      <c r="J21" s="6" t="str">
        <f>IF(COUNTIF(PC.IT105.Inp!$C21:$L21,"")=10,"",IF(PC.IT105.Inp!$G21="","NULL",""""&amp;PC.IT105.Inp!$G21&amp;""""))</f>
        <v>"T"</v>
      </c>
      <c r="K21" s="6" t="str">
        <f>IF(COUNTIF(PC.IT105.Inp!$C21:$L21,"")=10,"",IF(PC.IT105.Inp!$H21="","NULL",""""&amp;PC.IT105.Inp!$H21&amp;""""))</f>
        <v>"t"</v>
      </c>
      <c r="L21" s="6" t="str">
        <f>IF(COUNTIF(PC.IT105.Inp!$C21:$L21,"")=10,"",IF(PC.IT105.Inp!$I21="","NULL",""""&amp;PC.IT105.Inp!$I21&amp;""""))</f>
        <v>NULL</v>
      </c>
      <c r="M21" s="6" t="str">
        <f>IF(COUNTIF(PC.IT105.Inp!$C21:$L21,"")=10,"",IF(PC.IT105.Inp!$J21="","NULL",""""&amp;PC.IT105.Inp!$J21&amp;""""))</f>
        <v>NULL</v>
      </c>
      <c r="N21" s="6">
        <f>IF(COUNTIF(PC.IT105.Inp!$C21:$L21,"")=10,"",IF(PC.IT105.Inp!$K21="","NULL",PC.IT105.Inp!$K21))</f>
        <v>1</v>
      </c>
      <c r="O21" s="6">
        <f>IF(COUNTIF(PC.IT105.Inp!$C21:$L21,"")=10,"",IF(PC.IT105.Inp!$L21="","NULL",PC.IT105.Inp!$L21))</f>
        <v>0</v>
      </c>
      <c r="P21" s="7" t="str">
        <f>IF(COUNTIF(PC.TU105.Inp!$C21:$L21,"")=10,"","("&amp;aconcat($C21:$O21,",")&amp;"),")</f>
        <v>(NULL,NULL,20,396,180,72,72,"T","t",NULL,NULL,1,0),</v>
      </c>
    </row>
    <row r="22" spans="1:16" x14ac:dyDescent="0.3">
      <c r="A22" s="1" t="s">
        <v>51</v>
      </c>
      <c r="B22" s="1">
        <f t="shared" si="0"/>
        <v>21</v>
      </c>
      <c r="C22" s="6" t="str">
        <f>IF(COUNTIF(PC.IT105.Inp!$C22:$L22,"")=10,"","NULL")</f>
        <v>NULL</v>
      </c>
      <c r="D22" s="6" t="str">
        <f>IF(COUNTIF(PC.IT105.Inp!$C22:$L22,"")=10,"","NULL")</f>
        <v>NULL</v>
      </c>
      <c r="E22" s="6">
        <f>IF(COUNTIF(PC.IT105.Inp!$C22:$L22,"")=10,"",$B22)</f>
        <v>21</v>
      </c>
      <c r="F22" s="6">
        <f>IF(COUNTIF(PC.IT105.Inp!$C22:$L22,"")=10,"",IF(PC.IT105.Inp!$C22="","NULL",PC.IT105.Inp!$C22))</f>
        <v>468</v>
      </c>
      <c r="G22" s="6">
        <f>IF(COUNTIF(PC.IT105.Inp!$C22:$L22,"")=10,"",IF(PC.IT105.Inp!$D22="","NULL",PC.IT105.Inp!$D22))</f>
        <v>180</v>
      </c>
      <c r="H22" s="6">
        <f>IF(COUNTIF(PC.IT105.Inp!$C22:$L22,"")=10,"",IF(PC.IT105.Inp!$E22="","NULL",PC.IT105.Inp!$E22))</f>
        <v>72</v>
      </c>
      <c r="I22" s="6">
        <f>IF(COUNTIF(PC.IT105.Inp!$C22:$L22,"")=10,"",IF(PC.IT105.Inp!$F22="","NULL",PC.IT105.Inp!$F22))</f>
        <v>72</v>
      </c>
      <c r="J22" s="6" t="str">
        <f>IF(COUNTIF(PC.IT105.Inp!$C22:$L22,"")=10,"",IF(PC.IT105.Inp!$G22="","NULL",""""&amp;PC.IT105.Inp!$G22&amp;""""))</f>
        <v>"Z"</v>
      </c>
      <c r="K22" s="6" t="str">
        <f>IF(COUNTIF(PC.IT105.Inp!$C22:$L22,"")=10,"",IF(PC.IT105.Inp!$H22="","NULL",""""&amp;PC.IT105.Inp!$H22&amp;""""))</f>
        <v>"z"</v>
      </c>
      <c r="L22" s="6" t="str">
        <f>IF(COUNTIF(PC.IT105.Inp!$C22:$L22,"")=10,"",IF(PC.IT105.Inp!$I22="","NULL",""""&amp;PC.IT105.Inp!$I22&amp;""""))</f>
        <v>NULL</v>
      </c>
      <c r="M22" s="6" t="str">
        <f>IF(COUNTIF(PC.IT105.Inp!$C22:$L22,"")=10,"",IF(PC.IT105.Inp!$J22="","NULL",""""&amp;PC.IT105.Inp!$J22&amp;""""))</f>
        <v>NULL</v>
      </c>
      <c r="N22" s="6">
        <f>IF(COUNTIF(PC.IT105.Inp!$C22:$L22,"")=10,"",IF(PC.IT105.Inp!$K22="","NULL",PC.IT105.Inp!$K22))</f>
        <v>1</v>
      </c>
      <c r="O22" s="6">
        <f>IF(COUNTIF(PC.IT105.Inp!$C22:$L22,"")=10,"",IF(PC.IT105.Inp!$L22="","NULL",PC.IT105.Inp!$L22))</f>
        <v>0</v>
      </c>
      <c r="P22" s="7" t="str">
        <f>IF(COUNTIF(PC.TU105.Inp!$C22:$L22,"")=10,"","("&amp;aconcat($C22:$O22,",")&amp;"),")</f>
        <v>(NULL,NULL,21,468,180,72,72,"Z","z",NULL,NULL,1,0),</v>
      </c>
    </row>
    <row r="23" spans="1:16" x14ac:dyDescent="0.3">
      <c r="A23" s="1" t="s">
        <v>53</v>
      </c>
      <c r="B23" s="1">
        <f t="shared" si="0"/>
        <v>22</v>
      </c>
      <c r="C23" s="6" t="str">
        <f>IF(COUNTIF(PC.IT105.Inp!$C23:$L23,"")=10,"","NULL")</f>
        <v>NULL</v>
      </c>
      <c r="D23" s="6" t="str">
        <f>IF(COUNTIF(PC.IT105.Inp!$C23:$L23,"")=10,"","NULL")</f>
        <v>NULL</v>
      </c>
      <c r="E23" s="6">
        <f>IF(COUNTIF(PC.IT105.Inp!$C23:$L23,"")=10,"",$B23)</f>
        <v>22</v>
      </c>
      <c r="F23" s="6">
        <f>IF(COUNTIF(PC.IT105.Inp!$C23:$L23,"")=10,"",IF(PC.IT105.Inp!$C23="","NULL",PC.IT105.Inp!$C23))</f>
        <v>540</v>
      </c>
      <c r="G23" s="6">
        <f>IF(COUNTIF(PC.IT105.Inp!$C23:$L23,"")=10,"",IF(PC.IT105.Inp!$D23="","NULL",PC.IT105.Inp!$D23))</f>
        <v>180</v>
      </c>
      <c r="H23" s="6">
        <f>IF(COUNTIF(PC.IT105.Inp!$C23:$L23,"")=10,"",IF(PC.IT105.Inp!$E23="","NULL",PC.IT105.Inp!$E23))</f>
        <v>72</v>
      </c>
      <c r="I23" s="6">
        <f>IF(COUNTIF(PC.IT105.Inp!$C23:$L23,"")=10,"",IF(PC.IT105.Inp!$F23="","NULL",PC.IT105.Inp!$F23))</f>
        <v>72</v>
      </c>
      <c r="J23" s="6" t="str">
        <f>IF(COUNTIF(PC.IT105.Inp!$C23:$L23,"")=10,"",IF(PC.IT105.Inp!$G23="","NULL",""""&amp;PC.IT105.Inp!$G23&amp;""""))</f>
        <v>"U"</v>
      </c>
      <c r="K23" s="6" t="str">
        <f>IF(COUNTIF(PC.IT105.Inp!$C23:$L23,"")=10,"",IF(PC.IT105.Inp!$H23="","NULL",""""&amp;PC.IT105.Inp!$H23&amp;""""))</f>
        <v>"u"</v>
      </c>
      <c r="L23" s="6" t="str">
        <f>IF(COUNTIF(PC.IT105.Inp!$C23:$L23,"")=10,"",IF(PC.IT105.Inp!$I23="","NULL",""""&amp;PC.IT105.Inp!$I23&amp;""""))</f>
        <v>NULL</v>
      </c>
      <c r="M23" s="6" t="str">
        <f>IF(COUNTIF(PC.IT105.Inp!$C23:$L23,"")=10,"",IF(PC.IT105.Inp!$J23="","NULL",""""&amp;PC.IT105.Inp!$J23&amp;""""))</f>
        <v>NULL</v>
      </c>
      <c r="N23" s="6">
        <f>IF(COUNTIF(PC.IT105.Inp!$C23:$L23,"")=10,"",IF(PC.IT105.Inp!$K23="","NULL",PC.IT105.Inp!$K23))</f>
        <v>1</v>
      </c>
      <c r="O23" s="6">
        <f>IF(COUNTIF(PC.IT105.Inp!$C23:$L23,"")=10,"",IF(PC.IT105.Inp!$L23="","NULL",PC.IT105.Inp!$L23))</f>
        <v>0</v>
      </c>
      <c r="P23" s="7" t="str">
        <f>IF(COUNTIF(PC.TU105.Inp!$C23:$L23,"")=10,"","("&amp;aconcat($C23:$O23,",")&amp;"),")</f>
        <v>(NULL,NULL,22,540,180,72,72,"U","u",NULL,NULL,1,0),</v>
      </c>
    </row>
    <row r="24" spans="1:16" x14ac:dyDescent="0.3">
      <c r="A24" s="1" t="s">
        <v>184</v>
      </c>
      <c r="B24" s="1">
        <f t="shared" si="0"/>
        <v>23</v>
      </c>
      <c r="C24" s="6" t="str">
        <f>IF(COUNTIF(PC.IT105.Inp!$C24:$L24,"")=10,"","NULL")</f>
        <v>NULL</v>
      </c>
      <c r="D24" s="6" t="str">
        <f>IF(COUNTIF(PC.IT105.Inp!$C24:$L24,"")=10,"","NULL")</f>
        <v>NULL</v>
      </c>
      <c r="E24" s="6">
        <f>IF(COUNTIF(PC.IT105.Inp!$C24:$L24,"")=10,"",$B24)</f>
        <v>23</v>
      </c>
      <c r="F24" s="6">
        <f>IF(COUNTIF(PC.IT105.Inp!$C24:$L24,"")=10,"",IF(PC.IT105.Inp!$C24="","NULL",PC.IT105.Inp!$C24))</f>
        <v>612</v>
      </c>
      <c r="G24" s="6">
        <f>IF(COUNTIF(PC.IT105.Inp!$C24:$L24,"")=10,"",IF(PC.IT105.Inp!$D24="","NULL",PC.IT105.Inp!$D24))</f>
        <v>180</v>
      </c>
      <c r="H24" s="6">
        <f>IF(COUNTIF(PC.IT105.Inp!$C24:$L24,"")=10,"",IF(PC.IT105.Inp!$E24="","NULL",PC.IT105.Inp!$E24))</f>
        <v>72</v>
      </c>
      <c r="I24" s="6">
        <f>IF(COUNTIF(PC.IT105.Inp!$C24:$L24,"")=10,"",IF(PC.IT105.Inp!$F24="","NULL",PC.IT105.Inp!$F24))</f>
        <v>72</v>
      </c>
      <c r="J24" s="6" t="str">
        <f>IF(COUNTIF(PC.IT105.Inp!$C24:$L24,"")=10,"",IF(PC.IT105.Inp!$G24="","NULL",""""&amp;PC.IT105.Inp!$G24&amp;""""))</f>
        <v>"I"</v>
      </c>
      <c r="K24" s="6" t="str">
        <f>IF(COUNTIF(PC.IT105.Inp!$C24:$L24,"")=10,"",IF(PC.IT105.Inp!$H24="","NULL",""""&amp;PC.IT105.Inp!$H24&amp;""""))</f>
        <v>"i"</v>
      </c>
      <c r="L24" s="6" t="str">
        <f>IF(COUNTIF(PC.IT105.Inp!$C24:$L24,"")=10,"",IF(PC.IT105.Inp!$I24="","NULL",""""&amp;PC.IT105.Inp!$I24&amp;""""))</f>
        <v>NULL</v>
      </c>
      <c r="M24" s="6" t="str">
        <f>IF(COUNTIF(PC.IT105.Inp!$C24:$L24,"")=10,"",IF(PC.IT105.Inp!$J24="","NULL",""""&amp;PC.IT105.Inp!$J24&amp;""""))</f>
        <v>NULL</v>
      </c>
      <c r="N24" s="6">
        <f>IF(COUNTIF(PC.IT105.Inp!$C24:$L24,"")=10,"",IF(PC.IT105.Inp!$K24="","NULL",PC.IT105.Inp!$K24))</f>
        <v>1</v>
      </c>
      <c r="O24" s="6">
        <f>IF(COUNTIF(PC.IT105.Inp!$C24:$L24,"")=10,"",IF(PC.IT105.Inp!$L24="","NULL",PC.IT105.Inp!$L24))</f>
        <v>0</v>
      </c>
      <c r="P24" s="7" t="str">
        <f>IF(COUNTIF(PC.TU105.Inp!$C24:$L24,"")=10,"","("&amp;aconcat($C24:$O24,",")&amp;"),")</f>
        <v>(NULL,NULL,23,612,180,72,72,"I","i",NULL,NULL,1,0),</v>
      </c>
    </row>
    <row r="25" spans="1:16" x14ac:dyDescent="0.3">
      <c r="A25" s="1" t="s">
        <v>57</v>
      </c>
      <c r="B25" s="1">
        <f t="shared" si="0"/>
        <v>24</v>
      </c>
      <c r="C25" s="6" t="str">
        <f>IF(COUNTIF(PC.IT105.Inp!$C25:$L25,"")=10,"","NULL")</f>
        <v>NULL</v>
      </c>
      <c r="D25" s="6" t="str">
        <f>IF(COUNTIF(PC.IT105.Inp!$C25:$L25,"")=10,"","NULL")</f>
        <v>NULL</v>
      </c>
      <c r="E25" s="6">
        <f>IF(COUNTIF(PC.IT105.Inp!$C25:$L25,"")=10,"",$B25)</f>
        <v>24</v>
      </c>
      <c r="F25" s="6">
        <f>IF(COUNTIF(PC.IT105.Inp!$C25:$L25,"")=10,"",IF(PC.IT105.Inp!$C25="","NULL",PC.IT105.Inp!$C25))</f>
        <v>684</v>
      </c>
      <c r="G25" s="6">
        <f>IF(COUNTIF(PC.IT105.Inp!$C25:$L25,"")=10,"",IF(PC.IT105.Inp!$D25="","NULL",PC.IT105.Inp!$D25))</f>
        <v>180</v>
      </c>
      <c r="H25" s="6">
        <f>IF(COUNTIF(PC.IT105.Inp!$C25:$L25,"")=10,"",IF(PC.IT105.Inp!$E25="","NULL",PC.IT105.Inp!$E25))</f>
        <v>72</v>
      </c>
      <c r="I25" s="6">
        <f>IF(COUNTIF(PC.IT105.Inp!$C25:$L25,"")=10,"",IF(PC.IT105.Inp!$F25="","NULL",PC.IT105.Inp!$F25))</f>
        <v>72</v>
      </c>
      <c r="J25" s="6" t="str">
        <f>IF(COUNTIF(PC.IT105.Inp!$C25:$L25,"")=10,"",IF(PC.IT105.Inp!$G25="","NULL",""""&amp;PC.IT105.Inp!$G25&amp;""""))</f>
        <v>"O"</v>
      </c>
      <c r="K25" s="6" t="str">
        <f>IF(COUNTIF(PC.IT105.Inp!$C25:$L25,"")=10,"",IF(PC.IT105.Inp!$H25="","NULL",""""&amp;PC.IT105.Inp!$H25&amp;""""))</f>
        <v>"o"</v>
      </c>
      <c r="L25" s="6" t="str">
        <f>IF(COUNTIF(PC.IT105.Inp!$C25:$L25,"")=10,"",IF(PC.IT105.Inp!$I25="","NULL",""""&amp;PC.IT105.Inp!$I25&amp;""""))</f>
        <v>NULL</v>
      </c>
      <c r="M25" s="6" t="str">
        <f>IF(COUNTIF(PC.IT105.Inp!$C25:$L25,"")=10,"",IF(PC.IT105.Inp!$J25="","NULL",""""&amp;PC.IT105.Inp!$J25&amp;""""))</f>
        <v>NULL</v>
      </c>
      <c r="N25" s="6">
        <f>IF(COUNTIF(PC.IT105.Inp!$C25:$L25,"")=10,"",IF(PC.IT105.Inp!$K25="","NULL",PC.IT105.Inp!$K25))</f>
        <v>1</v>
      </c>
      <c r="O25" s="6">
        <f>IF(COUNTIF(PC.IT105.Inp!$C25:$L25,"")=10,"",IF(PC.IT105.Inp!$L25="","NULL",PC.IT105.Inp!$L25))</f>
        <v>0</v>
      </c>
      <c r="P25" s="7" t="str">
        <f>IF(COUNTIF(PC.TU105.Inp!$C25:$L25,"")=10,"","("&amp;aconcat($C25:$O25,",")&amp;"),")</f>
        <v>(NULL,NULL,24,684,180,72,72,"O","o",NULL,NULL,1,0),</v>
      </c>
    </row>
    <row r="26" spans="1:16" x14ac:dyDescent="0.3">
      <c r="A26" s="1" t="s">
        <v>59</v>
      </c>
      <c r="B26" s="1">
        <f t="shared" si="0"/>
        <v>25</v>
      </c>
      <c r="C26" s="6" t="str">
        <f>IF(COUNTIF(PC.IT105.Inp!$C26:$L26,"")=10,"","NULL")</f>
        <v>NULL</v>
      </c>
      <c r="D26" s="6" t="str">
        <f>IF(COUNTIF(PC.IT105.Inp!$C26:$L26,"")=10,"","NULL")</f>
        <v>NULL</v>
      </c>
      <c r="E26" s="6">
        <f>IF(COUNTIF(PC.IT105.Inp!$C26:$L26,"")=10,"",$B26)</f>
        <v>25</v>
      </c>
      <c r="F26" s="6">
        <f>IF(COUNTIF(PC.IT105.Inp!$C26:$L26,"")=10,"",IF(PC.IT105.Inp!$C26="","NULL",PC.IT105.Inp!$C26))</f>
        <v>756</v>
      </c>
      <c r="G26" s="6">
        <f>IF(COUNTIF(PC.IT105.Inp!$C26:$L26,"")=10,"",IF(PC.IT105.Inp!$D26="","NULL",PC.IT105.Inp!$D26))</f>
        <v>180</v>
      </c>
      <c r="H26" s="6">
        <f>IF(COUNTIF(PC.IT105.Inp!$C26:$L26,"")=10,"",IF(PC.IT105.Inp!$E26="","NULL",PC.IT105.Inp!$E26))</f>
        <v>72</v>
      </c>
      <c r="I26" s="6">
        <f>IF(COUNTIF(PC.IT105.Inp!$C26:$L26,"")=10,"",IF(PC.IT105.Inp!$F26="","NULL",PC.IT105.Inp!$F26))</f>
        <v>72</v>
      </c>
      <c r="J26" s="6" t="str">
        <f>IF(COUNTIF(PC.IT105.Inp!$C26:$L26,"")=10,"",IF(PC.IT105.Inp!$G26="","NULL",""""&amp;PC.IT105.Inp!$G26&amp;""""))</f>
        <v>"P"</v>
      </c>
      <c r="K26" s="6" t="str">
        <f>IF(COUNTIF(PC.IT105.Inp!$C26:$L26,"")=10,"",IF(PC.IT105.Inp!$H26="","NULL",""""&amp;PC.IT105.Inp!$H26&amp;""""))</f>
        <v>"p"</v>
      </c>
      <c r="L26" s="6" t="str">
        <f>IF(COUNTIF(PC.IT105.Inp!$C26:$L26,"")=10,"",IF(PC.IT105.Inp!$I26="","NULL",""""&amp;PC.IT105.Inp!$I26&amp;""""))</f>
        <v>NULL</v>
      </c>
      <c r="M26" s="6" t="str">
        <f>IF(COUNTIF(PC.IT105.Inp!$C26:$L26,"")=10,"",IF(PC.IT105.Inp!$J26="","NULL",""""&amp;PC.IT105.Inp!$J26&amp;""""))</f>
        <v>NULL</v>
      </c>
      <c r="N26" s="6">
        <f>IF(COUNTIF(PC.IT105.Inp!$C26:$L26,"")=10,"",IF(PC.IT105.Inp!$K26="","NULL",PC.IT105.Inp!$K26))</f>
        <v>1</v>
      </c>
      <c r="O26" s="6">
        <f>IF(COUNTIF(PC.IT105.Inp!$C26:$L26,"")=10,"",IF(PC.IT105.Inp!$L26="","NULL",PC.IT105.Inp!$L26))</f>
        <v>0</v>
      </c>
      <c r="P26" s="7" t="str">
        <f>IF(COUNTIF(PC.TU105.Inp!$C26:$L26,"")=10,"","("&amp;aconcat($C26:$O26,",")&amp;"),")</f>
        <v>(NULL,NULL,25,756,180,72,72,"P","p",NULL,NULL,1,0),</v>
      </c>
    </row>
    <row r="27" spans="1:16" x14ac:dyDescent="0.3">
      <c r="A27" s="1" t="s">
        <v>202</v>
      </c>
      <c r="B27" s="1">
        <f t="shared" si="0"/>
        <v>26</v>
      </c>
      <c r="C27" s="6" t="str">
        <f>IF(COUNTIF(PC.IT105.Inp!$C27:$L27,"")=10,"","NULL")</f>
        <v>NULL</v>
      </c>
      <c r="D27" s="6" t="str">
        <f>IF(COUNTIF(PC.IT105.Inp!$C27:$L27,"")=10,"","NULL")</f>
        <v>NULL</v>
      </c>
      <c r="E27" s="6">
        <f>IF(COUNTIF(PC.IT105.Inp!$C27:$L27,"")=10,"",$B27)</f>
        <v>26</v>
      </c>
      <c r="F27" s="6">
        <f>IF(COUNTIF(PC.IT105.Inp!$C27:$L27,"")=10,"",IF(PC.IT105.Inp!$C27="","NULL",PC.IT105.Inp!$C27))</f>
        <v>828</v>
      </c>
      <c r="G27" s="6">
        <f>IF(COUNTIF(PC.IT105.Inp!$C27:$L27,"")=10,"",IF(PC.IT105.Inp!$D27="","NULL",PC.IT105.Inp!$D27))</f>
        <v>180</v>
      </c>
      <c r="H27" s="6">
        <f>IF(COUNTIF(PC.IT105.Inp!$C27:$L27,"")=10,"",IF(PC.IT105.Inp!$E27="","NULL",PC.IT105.Inp!$E27))</f>
        <v>72</v>
      </c>
      <c r="I27" s="6">
        <f>IF(COUNTIF(PC.IT105.Inp!$C27:$L27,"")=10,"",IF(PC.IT105.Inp!$F27="","NULL",PC.IT105.Inp!$F27))</f>
        <v>72</v>
      </c>
      <c r="J27" s="6" t="str">
        <f>IF(COUNTIF(PC.IT105.Inp!$C27:$L27,"")=10,"",IF(PC.IT105.Inp!$G27="","NULL",""""&amp;PC.IT105.Inp!$G27&amp;""""))</f>
        <v>"é"</v>
      </c>
      <c r="K27" s="6" t="str">
        <f>IF(COUNTIF(PC.IT105.Inp!$C27:$L27,"")=10,"",IF(PC.IT105.Inp!$H27="","NULL",""""&amp;PC.IT105.Inp!$H27&amp;""""))</f>
        <v>"è"</v>
      </c>
      <c r="L27" s="6" t="str">
        <f>IF(COUNTIF(PC.IT105.Inp!$C27:$L27,"")=10,"",IF(PC.IT105.Inp!$I27="","NULL",""""&amp;PC.IT105.Inp!$I27&amp;""""))</f>
        <v>"{"</v>
      </c>
      <c r="M27" s="6" t="str">
        <f>IF(COUNTIF(PC.IT105.Inp!$C27:$L27,"")=10,"",IF(PC.IT105.Inp!$J27="","NULL",""""&amp;PC.IT105.Inp!$J27&amp;""""))</f>
        <v>"["</v>
      </c>
      <c r="N27" s="6" t="str">
        <f>IF(COUNTIF(PC.IT105.Inp!$C27:$L27,"")=10,"",IF(PC.IT105.Inp!$K27="","NULL",PC.IT105.Inp!$K27))</f>
        <v>0</v>
      </c>
      <c r="O27" s="6">
        <f>IF(COUNTIF(PC.IT105.Inp!$C27:$L27,"")=10,"",IF(PC.IT105.Inp!$L27="","NULL",PC.IT105.Inp!$L27))</f>
        <v>0</v>
      </c>
      <c r="P27" s="7" t="str">
        <f>IF(COUNTIF(PC.TU105.Inp!$C27:$L27,"")=10,"","("&amp;aconcat($C27:$O27,",")&amp;"),")</f>
        <v>(NULL,NULL,26,828,180,72,72,"é","è","{","[",0,0),</v>
      </c>
    </row>
    <row r="28" spans="1:16" x14ac:dyDescent="0.3">
      <c r="A28" s="1" t="s">
        <v>63</v>
      </c>
      <c r="B28" s="1">
        <f t="shared" si="0"/>
        <v>27</v>
      </c>
      <c r="C28" s="6" t="str">
        <f>IF(COUNTIF(PC.IT105.Inp!$C28:$L28,"")=10,"","NULL")</f>
        <v>NULL</v>
      </c>
      <c r="D28" s="6" t="str">
        <f>IF(COUNTIF(PC.IT105.Inp!$C28:$L28,"")=10,"","NULL")</f>
        <v>NULL</v>
      </c>
      <c r="E28" s="6">
        <f>IF(COUNTIF(PC.IT105.Inp!$C28:$L28,"")=10,"",$B28)</f>
        <v>27</v>
      </c>
      <c r="F28" s="6">
        <f>IF(COUNTIF(PC.IT105.Inp!$C28:$L28,"")=10,"",IF(PC.IT105.Inp!$C28="","NULL",PC.IT105.Inp!$C28))</f>
        <v>900</v>
      </c>
      <c r="G28" s="6">
        <f>IF(COUNTIF(PC.IT105.Inp!$C28:$L28,"")=10,"",IF(PC.IT105.Inp!$D28="","NULL",PC.IT105.Inp!$D28))</f>
        <v>180</v>
      </c>
      <c r="H28" s="6">
        <f>IF(COUNTIF(PC.IT105.Inp!$C28:$L28,"")=10,"",IF(PC.IT105.Inp!$E28="","NULL",PC.IT105.Inp!$E28))</f>
        <v>72</v>
      </c>
      <c r="I28" s="6">
        <f>IF(COUNTIF(PC.IT105.Inp!$C28:$L28,"")=10,"",IF(PC.IT105.Inp!$F28="","NULL",PC.IT105.Inp!$F28))</f>
        <v>72</v>
      </c>
      <c r="J28" s="6" t="str">
        <f>IF(COUNTIF(PC.IT105.Inp!$C28:$L28,"")=10,"",IF(PC.IT105.Inp!$G28="","NULL",""""&amp;PC.IT105.Inp!$G28&amp;""""))</f>
        <v>"*"</v>
      </c>
      <c r="K28" s="6" t="str">
        <f>IF(COUNTIF(PC.IT105.Inp!$C28:$L28,"")=10,"",IF(PC.IT105.Inp!$H28="","NULL",""""&amp;PC.IT105.Inp!$H28&amp;""""))</f>
        <v>"+"</v>
      </c>
      <c r="L28" s="6" t="str">
        <f>IF(COUNTIF(PC.IT105.Inp!$C28:$L28,"")=10,"",IF(PC.IT105.Inp!$I28="","NULL",""""&amp;PC.IT105.Inp!$I28&amp;""""))</f>
        <v>"}"</v>
      </c>
      <c r="M28" s="6" t="str">
        <f>IF(COUNTIF(PC.IT105.Inp!$C28:$L28,"")=10,"",IF(PC.IT105.Inp!$J28="","NULL",""""&amp;PC.IT105.Inp!$J28&amp;""""))</f>
        <v>"]"</v>
      </c>
      <c r="N28" s="6">
        <f>IF(COUNTIF(PC.IT105.Inp!$C28:$L28,"")=10,"",IF(PC.IT105.Inp!$K28="","NULL",PC.IT105.Inp!$K28))</f>
        <v>0</v>
      </c>
      <c r="O28" s="6">
        <f>IF(COUNTIF(PC.IT105.Inp!$C28:$L28,"")=10,"",IF(PC.IT105.Inp!$L28="","NULL",PC.IT105.Inp!$L28))</f>
        <v>0</v>
      </c>
      <c r="P28" s="7" t="str">
        <f>IF(COUNTIF(PC.TU105.Inp!$C28:$L28,"")=10,"","("&amp;aconcat($C28:$O28,",")&amp;"),")</f>
        <v>(NULL,NULL,27,900,180,72,72,"*","+","}","]",0,0),</v>
      </c>
    </row>
    <row r="29" spans="1:16" x14ac:dyDescent="0.3">
      <c r="A29" s="1" t="s">
        <v>246</v>
      </c>
      <c r="B29" s="1">
        <f t="shared" si="0"/>
        <v>28</v>
      </c>
      <c r="C29" s="6" t="str">
        <f>IF(COUNTIF(PC.IT105.Inp!$C29:$L29,"")=10,"","NULL")</f>
        <v/>
      </c>
      <c r="D29" s="6" t="str">
        <f>IF(COUNTIF(PC.IT105.Inp!$C29:$L29,"")=10,"","NULL")</f>
        <v/>
      </c>
      <c r="E29" s="6" t="str">
        <f>IF(COUNTIF(PC.IT105.Inp!$C29:$L29,"")=10,"",$B29)</f>
        <v/>
      </c>
      <c r="F29" s="6" t="str">
        <f>IF(COUNTIF(PC.IT105.Inp!$C29:$L29,"")=10,"",IF(PC.IT105.Inp!$C29="","NULL",PC.IT105.Inp!$C29))</f>
        <v/>
      </c>
      <c r="G29" s="6" t="str">
        <f>IF(COUNTIF(PC.IT105.Inp!$C29:$L29,"")=10,"",IF(PC.IT105.Inp!$D29="","NULL",PC.IT105.Inp!$D29))</f>
        <v/>
      </c>
      <c r="H29" s="6" t="str">
        <f>IF(COUNTIF(PC.IT105.Inp!$C29:$L29,"")=10,"",IF(PC.IT105.Inp!$E29="","NULL",PC.IT105.Inp!$E29))</f>
        <v/>
      </c>
      <c r="I29" s="6" t="str">
        <f>IF(COUNTIF(PC.IT105.Inp!$C29:$L29,"")=10,"",IF(PC.IT105.Inp!$F29="","NULL",PC.IT105.Inp!$F29))</f>
        <v/>
      </c>
      <c r="J29" s="6" t="str">
        <f>IF(COUNTIF(PC.IT105.Inp!$C29:$L29,"")=10,"",IF(PC.IT105.Inp!$G29="","NULL",""""&amp;PC.IT105.Inp!$G29&amp;""""))</f>
        <v/>
      </c>
      <c r="K29" s="6" t="str">
        <f>IF(COUNTIF(PC.IT105.Inp!$C29:$L29,"")=10,"",IF(PC.IT105.Inp!$H29="","NULL",""""&amp;PC.IT105.Inp!$H29&amp;""""))</f>
        <v/>
      </c>
      <c r="L29" s="6" t="str">
        <f>IF(COUNTIF(PC.IT105.Inp!$C29:$L29,"")=10,"",IF(PC.IT105.Inp!$I29="","NULL",""""&amp;PC.IT105.Inp!$I29&amp;""""))</f>
        <v/>
      </c>
      <c r="M29" s="6" t="str">
        <f>IF(COUNTIF(PC.IT105.Inp!$C29:$L29,"")=10,"",IF(PC.IT105.Inp!$J29="","NULL",""""&amp;PC.IT105.Inp!$J29&amp;""""))</f>
        <v/>
      </c>
      <c r="N29" s="6" t="str">
        <f>IF(COUNTIF(PC.IT105.Inp!$C29:$L29,"")=10,"",IF(PC.IT105.Inp!$K29="","NULL",PC.IT105.Inp!$K29))</f>
        <v/>
      </c>
      <c r="O29" s="6" t="str">
        <f>IF(COUNTIF(PC.IT105.Inp!$C29:$L29,"")=10,"",IF(PC.IT105.Inp!$L29="","NULL",PC.IT105.Inp!$L29))</f>
        <v/>
      </c>
      <c r="P29" s="7" t="str">
        <f>IF(COUNTIF(PC.TU105.Inp!$C29:$L29,"")=10,"","("&amp;aconcat($C29:$O29,",")&amp;"),")</f>
        <v/>
      </c>
    </row>
    <row r="30" spans="1:16" x14ac:dyDescent="0.3">
      <c r="A30" s="1" t="s">
        <v>166</v>
      </c>
      <c r="B30" s="1">
        <f t="shared" si="0"/>
        <v>29</v>
      </c>
      <c r="C30" s="6" t="str">
        <f>IF(COUNTIF(PC.IT105.Inp!$C30:$L30,"")=10,"","NULL")</f>
        <v>NULL</v>
      </c>
      <c r="D30" s="6" t="str">
        <f>IF(COUNTIF(PC.IT105.Inp!$C30:$L30,"")=10,"","NULL")</f>
        <v>NULL</v>
      </c>
      <c r="E30" s="6">
        <f>IF(COUNTIF(PC.IT105.Inp!$C30:$L30,"")=10,"",$B30)</f>
        <v>29</v>
      </c>
      <c r="F30" s="6">
        <f>IF(COUNTIF(PC.IT105.Inp!$C30:$L30,"")=10,"",IF(PC.IT105.Inp!$C30="","NULL",PC.IT105.Inp!$C30))</f>
        <v>0</v>
      </c>
      <c r="G30" s="6">
        <f>IF(COUNTIF(PC.IT105.Inp!$C30:$L30,"")=10,"",IF(PC.IT105.Inp!$D30="","NULL",PC.IT105.Inp!$D30))</f>
        <v>252</v>
      </c>
      <c r="H30" s="6">
        <f>IF(COUNTIF(PC.IT105.Inp!$C30:$L30,"")=10,"",IF(PC.IT105.Inp!$E30="","NULL",PC.IT105.Inp!$E30))</f>
        <v>126</v>
      </c>
      <c r="I30" s="6">
        <f>IF(COUNTIF(PC.IT105.Inp!$C30:$L30,"")=10,"",IF(PC.IT105.Inp!$F30="","NULL",PC.IT105.Inp!$F30))</f>
        <v>72</v>
      </c>
      <c r="J30" s="6" t="str">
        <f>IF(COUNTIF(PC.IT105.Inp!$C30:$L30,"")=10,"",IF(PC.IT105.Inp!$G30="","NULL",""""&amp;PC.IT105.Inp!$G30&amp;""""))</f>
        <v>NULL</v>
      </c>
      <c r="K30" s="6" t="str">
        <f>IF(COUNTIF(PC.IT105.Inp!$C30:$L30,"")=10,"",IF(PC.IT105.Inp!$H30="","NULL",""""&amp;PC.IT105.Inp!$H30&amp;""""))</f>
        <v>"Caps Lock"</v>
      </c>
      <c r="L30" s="6" t="str">
        <f>IF(COUNTIF(PC.IT105.Inp!$C30:$L30,"")=10,"",IF(PC.IT105.Inp!$I30="","NULL",""""&amp;PC.IT105.Inp!$I30&amp;""""))</f>
        <v>NULL</v>
      </c>
      <c r="M30" s="6" t="str">
        <f>IF(COUNTIF(PC.IT105.Inp!$C30:$L30,"")=10,"",IF(PC.IT105.Inp!$J30="","NULL",""""&amp;PC.IT105.Inp!$J30&amp;""""))</f>
        <v>NULL</v>
      </c>
      <c r="N30" s="6">
        <f>IF(COUNTIF(PC.IT105.Inp!$C30:$L30,"")=10,"",IF(PC.IT105.Inp!$K30="","NULL",PC.IT105.Inp!$K30))</f>
        <v>0</v>
      </c>
      <c r="O30" s="6">
        <f>IF(COUNTIF(PC.IT105.Inp!$C30:$L30,"")=10,"",IF(PC.IT105.Inp!$L30="","NULL",PC.IT105.Inp!$L30))</f>
        <v>0</v>
      </c>
      <c r="P30" s="7" t="str">
        <f>IF(COUNTIF(PC.TU105.Inp!$C30:$L30,"")=10,"","("&amp;aconcat($C30:$O30,",")&amp;"),")</f>
        <v>(NULL,NULL,29,0,252,126,72,NULL,"Caps Lock",NULL,NULL,0,0),</v>
      </c>
    </row>
    <row r="31" spans="1:16" x14ac:dyDescent="0.3">
      <c r="A31" s="1" t="s">
        <v>67</v>
      </c>
      <c r="B31" s="1">
        <f t="shared" si="0"/>
        <v>30</v>
      </c>
      <c r="C31" s="6" t="str">
        <f>IF(COUNTIF(PC.IT105.Inp!$C31:$L31,"")=10,"","NULL")</f>
        <v>NULL</v>
      </c>
      <c r="D31" s="6" t="str">
        <f>IF(COUNTIF(PC.IT105.Inp!$C31:$L31,"")=10,"","NULL")</f>
        <v>NULL</v>
      </c>
      <c r="E31" s="6">
        <f>IF(COUNTIF(PC.IT105.Inp!$C31:$L31,"")=10,"",$B31)</f>
        <v>30</v>
      </c>
      <c r="F31" s="6">
        <f>IF(COUNTIF(PC.IT105.Inp!$C31:$L31,"")=10,"",IF(PC.IT105.Inp!$C31="","NULL",PC.IT105.Inp!$C31))</f>
        <v>126</v>
      </c>
      <c r="G31" s="6">
        <f>IF(COUNTIF(PC.IT105.Inp!$C31:$L31,"")=10,"",IF(PC.IT105.Inp!$D31="","NULL",PC.IT105.Inp!$D31))</f>
        <v>252</v>
      </c>
      <c r="H31" s="6">
        <f>IF(COUNTIF(PC.IT105.Inp!$C31:$L31,"")=10,"",IF(PC.IT105.Inp!$E31="","NULL",PC.IT105.Inp!$E31))</f>
        <v>72</v>
      </c>
      <c r="I31" s="6">
        <f>IF(COUNTIF(PC.IT105.Inp!$C31:$L31,"")=10,"",IF(PC.IT105.Inp!$F31="","NULL",PC.IT105.Inp!$F31))</f>
        <v>72</v>
      </c>
      <c r="J31" s="6" t="str">
        <f>IF(COUNTIF(PC.IT105.Inp!$C31:$L31,"")=10,"",IF(PC.IT105.Inp!$G31="","NULL",""""&amp;PC.IT105.Inp!$G31&amp;""""))</f>
        <v>"A"</v>
      </c>
      <c r="K31" s="6" t="str">
        <f>IF(COUNTIF(PC.IT105.Inp!$C31:$L31,"")=10,"",IF(PC.IT105.Inp!$H31="","NULL",""""&amp;PC.IT105.Inp!$H31&amp;""""))</f>
        <v>"a"</v>
      </c>
      <c r="L31" s="6" t="str">
        <f>IF(COUNTIF(PC.IT105.Inp!$C31:$L31,"")=10,"",IF(PC.IT105.Inp!$I31="","NULL",""""&amp;PC.IT105.Inp!$I31&amp;""""))</f>
        <v>NULL</v>
      </c>
      <c r="M31" s="6" t="str">
        <f>IF(COUNTIF(PC.IT105.Inp!$C31:$L31,"")=10,"",IF(PC.IT105.Inp!$J31="","NULL",""""&amp;PC.IT105.Inp!$J31&amp;""""))</f>
        <v>NULL</v>
      </c>
      <c r="N31" s="6">
        <f>IF(COUNTIF(PC.IT105.Inp!$C31:$L31,"")=10,"",IF(PC.IT105.Inp!$K31="","NULL",PC.IT105.Inp!$K31))</f>
        <v>1</v>
      </c>
      <c r="O31" s="6">
        <f>IF(COUNTIF(PC.IT105.Inp!$C31:$L31,"")=10,"",IF(PC.IT105.Inp!$L31="","NULL",PC.IT105.Inp!$L31))</f>
        <v>0</v>
      </c>
      <c r="P31" s="7" t="str">
        <f>IF(COUNTIF(PC.TU105.Inp!$C31:$L31,"")=10,"","("&amp;aconcat($C31:$O31,",")&amp;"),")</f>
        <v>(NULL,NULL,30,126,252,72,72,"A","a",NULL,NULL,1,0),</v>
      </c>
    </row>
    <row r="32" spans="1:16" x14ac:dyDescent="0.3">
      <c r="A32" s="1" t="s">
        <v>69</v>
      </c>
      <c r="B32" s="1">
        <f t="shared" si="0"/>
        <v>31</v>
      </c>
      <c r="C32" s="6" t="str">
        <f>IF(COUNTIF(PC.IT105.Inp!$C32:$L32,"")=10,"","NULL")</f>
        <v>NULL</v>
      </c>
      <c r="D32" s="6" t="str">
        <f>IF(COUNTIF(PC.IT105.Inp!$C32:$L32,"")=10,"","NULL")</f>
        <v>NULL</v>
      </c>
      <c r="E32" s="6">
        <f>IF(COUNTIF(PC.IT105.Inp!$C32:$L32,"")=10,"",$B32)</f>
        <v>31</v>
      </c>
      <c r="F32" s="6">
        <f>IF(COUNTIF(PC.IT105.Inp!$C32:$L32,"")=10,"",IF(PC.IT105.Inp!$C32="","NULL",PC.IT105.Inp!$C32))</f>
        <v>198</v>
      </c>
      <c r="G32" s="6">
        <f>IF(COUNTIF(PC.IT105.Inp!$C32:$L32,"")=10,"",IF(PC.IT105.Inp!$D32="","NULL",PC.IT105.Inp!$D32))</f>
        <v>252</v>
      </c>
      <c r="H32" s="6">
        <f>IF(COUNTIF(PC.IT105.Inp!$C32:$L32,"")=10,"",IF(PC.IT105.Inp!$E32="","NULL",PC.IT105.Inp!$E32))</f>
        <v>72</v>
      </c>
      <c r="I32" s="6">
        <f>IF(COUNTIF(PC.IT105.Inp!$C32:$L32,"")=10,"",IF(PC.IT105.Inp!$F32="","NULL",PC.IT105.Inp!$F32))</f>
        <v>72</v>
      </c>
      <c r="J32" s="6" t="str">
        <f>IF(COUNTIF(PC.IT105.Inp!$C32:$L32,"")=10,"",IF(PC.IT105.Inp!$G32="","NULL",""""&amp;PC.IT105.Inp!$G32&amp;""""))</f>
        <v>"S"</v>
      </c>
      <c r="K32" s="6" t="str">
        <f>IF(COUNTIF(PC.IT105.Inp!$C32:$L32,"")=10,"",IF(PC.IT105.Inp!$H32="","NULL",""""&amp;PC.IT105.Inp!$H32&amp;""""))</f>
        <v>"s"</v>
      </c>
      <c r="L32" s="6" t="str">
        <f>IF(COUNTIF(PC.IT105.Inp!$C32:$L32,"")=10,"",IF(PC.IT105.Inp!$I32="","NULL",""""&amp;PC.IT105.Inp!$I32&amp;""""))</f>
        <v>NULL</v>
      </c>
      <c r="M32" s="6" t="str">
        <f>IF(COUNTIF(PC.IT105.Inp!$C32:$L32,"")=10,"",IF(PC.IT105.Inp!$J32="","NULL",""""&amp;PC.IT105.Inp!$J32&amp;""""))</f>
        <v>NULL</v>
      </c>
      <c r="N32" s="6">
        <f>IF(COUNTIF(PC.IT105.Inp!$C32:$L32,"")=10,"",IF(PC.IT105.Inp!$K32="","NULL",PC.IT105.Inp!$K32))</f>
        <v>1</v>
      </c>
      <c r="O32" s="6">
        <f>IF(COUNTIF(PC.IT105.Inp!$C32:$L32,"")=10,"",IF(PC.IT105.Inp!$L32="","NULL",PC.IT105.Inp!$L32))</f>
        <v>0</v>
      </c>
      <c r="P32" s="7" t="str">
        <f>IF(COUNTIF(PC.TU105.Inp!$C32:$L32,"")=10,"","("&amp;aconcat($C32:$O32,",")&amp;"),")</f>
        <v>(NULL,NULL,31,198,252,72,72,"S","s",NULL,NULL,1,0),</v>
      </c>
    </row>
    <row r="33" spans="1:16" x14ac:dyDescent="0.3">
      <c r="A33" s="1" t="s">
        <v>71</v>
      </c>
      <c r="B33" s="1">
        <f t="shared" si="0"/>
        <v>32</v>
      </c>
      <c r="C33" s="6" t="str">
        <f>IF(COUNTIF(PC.IT105.Inp!$C33:$L33,"")=10,"","NULL")</f>
        <v>NULL</v>
      </c>
      <c r="D33" s="6" t="str">
        <f>IF(COUNTIF(PC.IT105.Inp!$C33:$L33,"")=10,"","NULL")</f>
        <v>NULL</v>
      </c>
      <c r="E33" s="6">
        <f>IF(COUNTIF(PC.IT105.Inp!$C33:$L33,"")=10,"",$B33)</f>
        <v>32</v>
      </c>
      <c r="F33" s="6">
        <f>IF(COUNTIF(PC.IT105.Inp!$C33:$L33,"")=10,"",IF(PC.IT105.Inp!$C33="","NULL",PC.IT105.Inp!$C33))</f>
        <v>270</v>
      </c>
      <c r="G33" s="6">
        <f>IF(COUNTIF(PC.IT105.Inp!$C33:$L33,"")=10,"",IF(PC.IT105.Inp!$D33="","NULL",PC.IT105.Inp!$D33))</f>
        <v>252</v>
      </c>
      <c r="H33" s="6">
        <f>IF(COUNTIF(PC.IT105.Inp!$C33:$L33,"")=10,"",IF(PC.IT105.Inp!$E33="","NULL",PC.IT105.Inp!$E33))</f>
        <v>72</v>
      </c>
      <c r="I33" s="6">
        <f>IF(COUNTIF(PC.IT105.Inp!$C33:$L33,"")=10,"",IF(PC.IT105.Inp!$F33="","NULL",PC.IT105.Inp!$F33))</f>
        <v>72</v>
      </c>
      <c r="J33" s="6" t="str">
        <f>IF(COUNTIF(PC.IT105.Inp!$C33:$L33,"")=10,"",IF(PC.IT105.Inp!$G33="","NULL",""""&amp;PC.IT105.Inp!$G33&amp;""""))</f>
        <v>"D"</v>
      </c>
      <c r="K33" s="6" t="str">
        <f>IF(COUNTIF(PC.IT105.Inp!$C33:$L33,"")=10,"",IF(PC.IT105.Inp!$H33="","NULL",""""&amp;PC.IT105.Inp!$H33&amp;""""))</f>
        <v>"d"</v>
      </c>
      <c r="L33" s="6" t="str">
        <f>IF(COUNTIF(PC.IT105.Inp!$C33:$L33,"")=10,"",IF(PC.IT105.Inp!$I33="","NULL",""""&amp;PC.IT105.Inp!$I33&amp;""""))</f>
        <v>NULL</v>
      </c>
      <c r="M33" s="6" t="str">
        <f>IF(COUNTIF(PC.IT105.Inp!$C33:$L33,"")=10,"",IF(PC.IT105.Inp!$J33="","NULL",""""&amp;PC.IT105.Inp!$J33&amp;""""))</f>
        <v>NULL</v>
      </c>
      <c r="N33" s="6">
        <f>IF(COUNTIF(PC.IT105.Inp!$C33:$L33,"")=10,"",IF(PC.IT105.Inp!$K33="","NULL",PC.IT105.Inp!$K33))</f>
        <v>1</v>
      </c>
      <c r="O33" s="6">
        <f>IF(COUNTIF(PC.IT105.Inp!$C33:$L33,"")=10,"",IF(PC.IT105.Inp!$L33="","NULL",PC.IT105.Inp!$L33))</f>
        <v>0</v>
      </c>
      <c r="P33" s="7" t="str">
        <f>IF(COUNTIF(PC.TU105.Inp!$C33:$L33,"")=10,"","("&amp;aconcat($C33:$O33,",")&amp;"),")</f>
        <v>(NULL,NULL,32,270,252,72,72,"D","d",NULL,NULL,1,0),</v>
      </c>
    </row>
    <row r="34" spans="1:16" x14ac:dyDescent="0.3">
      <c r="A34" s="1" t="s">
        <v>73</v>
      </c>
      <c r="B34" s="1">
        <f t="shared" si="0"/>
        <v>33</v>
      </c>
      <c r="C34" s="6" t="str">
        <f>IF(COUNTIF(PC.IT105.Inp!$C34:$L34,"")=10,"","NULL")</f>
        <v>NULL</v>
      </c>
      <c r="D34" s="6" t="str">
        <f>IF(COUNTIF(PC.IT105.Inp!$C34:$L34,"")=10,"","NULL")</f>
        <v>NULL</v>
      </c>
      <c r="E34" s="6">
        <f>IF(COUNTIF(PC.IT105.Inp!$C34:$L34,"")=10,"",$B34)</f>
        <v>33</v>
      </c>
      <c r="F34" s="6">
        <f>IF(COUNTIF(PC.IT105.Inp!$C34:$L34,"")=10,"",IF(PC.IT105.Inp!$C34="","NULL",PC.IT105.Inp!$C34))</f>
        <v>342</v>
      </c>
      <c r="G34" s="6">
        <f>IF(COUNTIF(PC.IT105.Inp!$C34:$L34,"")=10,"",IF(PC.IT105.Inp!$D34="","NULL",PC.IT105.Inp!$D34))</f>
        <v>252</v>
      </c>
      <c r="H34" s="6">
        <f>IF(COUNTIF(PC.IT105.Inp!$C34:$L34,"")=10,"",IF(PC.IT105.Inp!$E34="","NULL",PC.IT105.Inp!$E34))</f>
        <v>72</v>
      </c>
      <c r="I34" s="6">
        <f>IF(COUNTIF(PC.IT105.Inp!$C34:$L34,"")=10,"",IF(PC.IT105.Inp!$F34="","NULL",PC.IT105.Inp!$F34))</f>
        <v>72</v>
      </c>
      <c r="J34" s="6" t="str">
        <f>IF(COUNTIF(PC.IT105.Inp!$C34:$L34,"")=10,"",IF(PC.IT105.Inp!$G34="","NULL",""""&amp;PC.IT105.Inp!$G34&amp;""""))</f>
        <v>"F"</v>
      </c>
      <c r="K34" s="6" t="str">
        <f>IF(COUNTIF(PC.IT105.Inp!$C34:$L34,"")=10,"",IF(PC.IT105.Inp!$H34="","NULL",""""&amp;PC.IT105.Inp!$H34&amp;""""))</f>
        <v>"f"</v>
      </c>
      <c r="L34" s="6" t="str">
        <f>IF(COUNTIF(PC.IT105.Inp!$C34:$L34,"")=10,"",IF(PC.IT105.Inp!$I34="","NULL",""""&amp;PC.IT105.Inp!$I34&amp;""""))</f>
        <v>NULL</v>
      </c>
      <c r="M34" s="6" t="str">
        <f>IF(COUNTIF(PC.IT105.Inp!$C34:$L34,"")=10,"",IF(PC.IT105.Inp!$J34="","NULL",""""&amp;PC.IT105.Inp!$J34&amp;""""))</f>
        <v>NULL</v>
      </c>
      <c r="N34" s="6">
        <f>IF(COUNTIF(PC.IT105.Inp!$C34:$L34,"")=10,"",IF(PC.IT105.Inp!$K34="","NULL",PC.IT105.Inp!$K34))</f>
        <v>1</v>
      </c>
      <c r="O34" s="6">
        <f>IF(COUNTIF(PC.IT105.Inp!$C34:$L34,"")=10,"",IF(PC.IT105.Inp!$L34="","NULL",PC.IT105.Inp!$L34))</f>
        <v>0</v>
      </c>
      <c r="P34" s="7" t="str">
        <f>IF(COUNTIF(PC.TU105.Inp!$C34:$L34,"")=10,"","("&amp;aconcat($C34:$O34,",")&amp;"),")</f>
        <v>(NULL,NULL,33,342,252,72,72,"F","f",NULL,NULL,1,0),</v>
      </c>
    </row>
    <row r="35" spans="1:16" x14ac:dyDescent="0.3">
      <c r="A35" s="1" t="s">
        <v>75</v>
      </c>
      <c r="B35" s="1">
        <f t="shared" si="0"/>
        <v>34</v>
      </c>
      <c r="C35" s="6" t="str">
        <f>IF(COUNTIF(PC.IT105.Inp!$C35:$L35,"")=10,"","NULL")</f>
        <v>NULL</v>
      </c>
      <c r="D35" s="6" t="str">
        <f>IF(COUNTIF(PC.IT105.Inp!$C35:$L35,"")=10,"","NULL")</f>
        <v>NULL</v>
      </c>
      <c r="E35" s="6">
        <f>IF(COUNTIF(PC.IT105.Inp!$C35:$L35,"")=10,"",$B35)</f>
        <v>34</v>
      </c>
      <c r="F35" s="6">
        <f>IF(COUNTIF(PC.IT105.Inp!$C35:$L35,"")=10,"",IF(PC.IT105.Inp!$C35="","NULL",PC.IT105.Inp!$C35))</f>
        <v>414</v>
      </c>
      <c r="G35" s="6">
        <f>IF(COUNTIF(PC.IT105.Inp!$C35:$L35,"")=10,"",IF(PC.IT105.Inp!$D35="","NULL",PC.IT105.Inp!$D35))</f>
        <v>252</v>
      </c>
      <c r="H35" s="6">
        <f>IF(COUNTIF(PC.IT105.Inp!$C35:$L35,"")=10,"",IF(PC.IT105.Inp!$E35="","NULL",PC.IT105.Inp!$E35))</f>
        <v>72</v>
      </c>
      <c r="I35" s="6">
        <f>IF(COUNTIF(PC.IT105.Inp!$C35:$L35,"")=10,"",IF(PC.IT105.Inp!$F35="","NULL",PC.IT105.Inp!$F35))</f>
        <v>72</v>
      </c>
      <c r="J35" s="6" t="str">
        <f>IF(COUNTIF(PC.IT105.Inp!$C35:$L35,"")=10,"",IF(PC.IT105.Inp!$G35="","NULL",""""&amp;PC.IT105.Inp!$G35&amp;""""))</f>
        <v>"G"</v>
      </c>
      <c r="K35" s="6" t="str">
        <f>IF(COUNTIF(PC.IT105.Inp!$C35:$L35,"")=10,"",IF(PC.IT105.Inp!$H35="","NULL",""""&amp;PC.IT105.Inp!$H35&amp;""""))</f>
        <v>"g"</v>
      </c>
      <c r="L35" s="6" t="str">
        <f>IF(COUNTIF(PC.IT105.Inp!$C35:$L35,"")=10,"",IF(PC.IT105.Inp!$I35="","NULL",""""&amp;PC.IT105.Inp!$I35&amp;""""))</f>
        <v>NULL</v>
      </c>
      <c r="M35" s="6" t="str">
        <f>IF(COUNTIF(PC.IT105.Inp!$C35:$L35,"")=10,"",IF(PC.IT105.Inp!$J35="","NULL",""""&amp;PC.IT105.Inp!$J35&amp;""""))</f>
        <v>NULL</v>
      </c>
      <c r="N35" s="6">
        <f>IF(COUNTIF(PC.IT105.Inp!$C35:$L35,"")=10,"",IF(PC.IT105.Inp!$K35="","NULL",PC.IT105.Inp!$K35))</f>
        <v>1</v>
      </c>
      <c r="O35" s="6">
        <f>IF(COUNTIF(PC.IT105.Inp!$C35:$L35,"")=10,"",IF(PC.IT105.Inp!$L35="","NULL",PC.IT105.Inp!$L35))</f>
        <v>0</v>
      </c>
      <c r="P35" s="7" t="str">
        <f>IF(COUNTIF(PC.TU105.Inp!$C35:$L35,"")=10,"","("&amp;aconcat($C35:$O35,",")&amp;"),")</f>
        <v>(NULL,NULL,34,414,252,72,72,"G","g",NULL,NULL,1,0),</v>
      </c>
    </row>
    <row r="36" spans="1:16" x14ac:dyDescent="0.3">
      <c r="A36" s="1" t="s">
        <v>77</v>
      </c>
      <c r="B36" s="1">
        <f t="shared" si="0"/>
        <v>35</v>
      </c>
      <c r="C36" s="6" t="str">
        <f>IF(COUNTIF(PC.IT105.Inp!$C36:$L36,"")=10,"","NULL")</f>
        <v>NULL</v>
      </c>
      <c r="D36" s="6" t="str">
        <f>IF(COUNTIF(PC.IT105.Inp!$C36:$L36,"")=10,"","NULL")</f>
        <v>NULL</v>
      </c>
      <c r="E36" s="6">
        <f>IF(COUNTIF(PC.IT105.Inp!$C36:$L36,"")=10,"",$B36)</f>
        <v>35</v>
      </c>
      <c r="F36" s="6">
        <f>IF(COUNTIF(PC.IT105.Inp!$C36:$L36,"")=10,"",IF(PC.IT105.Inp!$C36="","NULL",PC.IT105.Inp!$C36))</f>
        <v>486</v>
      </c>
      <c r="G36" s="6">
        <f>IF(COUNTIF(PC.IT105.Inp!$C36:$L36,"")=10,"",IF(PC.IT105.Inp!$D36="","NULL",PC.IT105.Inp!$D36))</f>
        <v>252</v>
      </c>
      <c r="H36" s="6">
        <f>IF(COUNTIF(PC.IT105.Inp!$C36:$L36,"")=10,"",IF(PC.IT105.Inp!$E36="","NULL",PC.IT105.Inp!$E36))</f>
        <v>72</v>
      </c>
      <c r="I36" s="6">
        <f>IF(COUNTIF(PC.IT105.Inp!$C36:$L36,"")=10,"",IF(PC.IT105.Inp!$F36="","NULL",PC.IT105.Inp!$F36))</f>
        <v>72</v>
      </c>
      <c r="J36" s="6" t="str">
        <f>IF(COUNTIF(PC.IT105.Inp!$C36:$L36,"")=10,"",IF(PC.IT105.Inp!$G36="","NULL",""""&amp;PC.IT105.Inp!$G36&amp;""""))</f>
        <v>"H"</v>
      </c>
      <c r="K36" s="6" t="str">
        <f>IF(COUNTIF(PC.IT105.Inp!$C36:$L36,"")=10,"",IF(PC.IT105.Inp!$H36="","NULL",""""&amp;PC.IT105.Inp!$H36&amp;""""))</f>
        <v>"h"</v>
      </c>
      <c r="L36" s="6" t="str">
        <f>IF(COUNTIF(PC.IT105.Inp!$C36:$L36,"")=10,"",IF(PC.IT105.Inp!$I36="","NULL",""""&amp;PC.IT105.Inp!$I36&amp;""""))</f>
        <v>NULL</v>
      </c>
      <c r="M36" s="6" t="str">
        <f>IF(COUNTIF(PC.IT105.Inp!$C36:$L36,"")=10,"",IF(PC.IT105.Inp!$J36="","NULL",""""&amp;PC.IT105.Inp!$J36&amp;""""))</f>
        <v>NULL</v>
      </c>
      <c r="N36" s="6">
        <f>IF(COUNTIF(PC.IT105.Inp!$C36:$L36,"")=10,"",IF(PC.IT105.Inp!$K36="","NULL",PC.IT105.Inp!$K36))</f>
        <v>1</v>
      </c>
      <c r="O36" s="6">
        <f>IF(COUNTIF(PC.IT105.Inp!$C36:$L36,"")=10,"",IF(PC.IT105.Inp!$L36="","NULL",PC.IT105.Inp!$L36))</f>
        <v>0</v>
      </c>
      <c r="P36" s="7" t="str">
        <f>IF(COUNTIF(PC.TU105.Inp!$C36:$L36,"")=10,"","("&amp;aconcat($C36:$O36,",")&amp;"),")</f>
        <v>(NULL,NULL,35,486,252,72,72,"H","h",NULL,NULL,1,0),</v>
      </c>
    </row>
    <row r="37" spans="1:16" x14ac:dyDescent="0.3">
      <c r="A37" s="1" t="s">
        <v>79</v>
      </c>
      <c r="B37" s="1">
        <f t="shared" si="0"/>
        <v>36</v>
      </c>
      <c r="C37" s="6" t="str">
        <f>IF(COUNTIF(PC.IT105.Inp!$C37:$L37,"")=10,"","NULL")</f>
        <v>NULL</v>
      </c>
      <c r="D37" s="6" t="str">
        <f>IF(COUNTIF(PC.IT105.Inp!$C37:$L37,"")=10,"","NULL")</f>
        <v>NULL</v>
      </c>
      <c r="E37" s="6">
        <f>IF(COUNTIF(PC.IT105.Inp!$C37:$L37,"")=10,"",$B37)</f>
        <v>36</v>
      </c>
      <c r="F37" s="6">
        <f>IF(COUNTIF(PC.IT105.Inp!$C37:$L37,"")=10,"",IF(PC.IT105.Inp!$C37="","NULL",PC.IT105.Inp!$C37))</f>
        <v>558</v>
      </c>
      <c r="G37" s="6">
        <f>IF(COUNTIF(PC.IT105.Inp!$C37:$L37,"")=10,"",IF(PC.IT105.Inp!$D37="","NULL",PC.IT105.Inp!$D37))</f>
        <v>252</v>
      </c>
      <c r="H37" s="6">
        <f>IF(COUNTIF(PC.IT105.Inp!$C37:$L37,"")=10,"",IF(PC.IT105.Inp!$E37="","NULL",PC.IT105.Inp!$E37))</f>
        <v>72</v>
      </c>
      <c r="I37" s="6">
        <f>IF(COUNTIF(PC.IT105.Inp!$C37:$L37,"")=10,"",IF(PC.IT105.Inp!$F37="","NULL",PC.IT105.Inp!$F37))</f>
        <v>72</v>
      </c>
      <c r="J37" s="6" t="str">
        <f>IF(COUNTIF(PC.IT105.Inp!$C37:$L37,"")=10,"",IF(PC.IT105.Inp!$G37="","NULL",""""&amp;PC.IT105.Inp!$G37&amp;""""))</f>
        <v>"J"</v>
      </c>
      <c r="K37" s="6" t="str">
        <f>IF(COUNTIF(PC.IT105.Inp!$C37:$L37,"")=10,"",IF(PC.IT105.Inp!$H37="","NULL",""""&amp;PC.IT105.Inp!$H37&amp;""""))</f>
        <v>"j"</v>
      </c>
      <c r="L37" s="6" t="str">
        <f>IF(COUNTIF(PC.IT105.Inp!$C37:$L37,"")=10,"",IF(PC.IT105.Inp!$I37="","NULL",""""&amp;PC.IT105.Inp!$I37&amp;""""))</f>
        <v>NULL</v>
      </c>
      <c r="M37" s="6" t="str">
        <f>IF(COUNTIF(PC.IT105.Inp!$C37:$L37,"")=10,"",IF(PC.IT105.Inp!$J37="","NULL",""""&amp;PC.IT105.Inp!$J37&amp;""""))</f>
        <v>NULL</v>
      </c>
      <c r="N37" s="6">
        <f>IF(COUNTIF(PC.IT105.Inp!$C37:$L37,"")=10,"",IF(PC.IT105.Inp!$K37="","NULL",PC.IT105.Inp!$K37))</f>
        <v>1</v>
      </c>
      <c r="O37" s="6">
        <f>IF(COUNTIF(PC.IT105.Inp!$C37:$L37,"")=10,"",IF(PC.IT105.Inp!$L37="","NULL",PC.IT105.Inp!$L37))</f>
        <v>0</v>
      </c>
      <c r="P37" s="7" t="str">
        <f>IF(COUNTIF(PC.TU105.Inp!$C37:$L37,"")=10,"","("&amp;aconcat($C37:$O37,",")&amp;"),")</f>
        <v>(NULL,NULL,36,558,252,72,72,"J","j",NULL,NULL,1,0),</v>
      </c>
    </row>
    <row r="38" spans="1:16" x14ac:dyDescent="0.3">
      <c r="A38" s="1" t="s">
        <v>81</v>
      </c>
      <c r="B38" s="1">
        <f t="shared" si="0"/>
        <v>37</v>
      </c>
      <c r="C38" s="6" t="str">
        <f>IF(COUNTIF(PC.IT105.Inp!$C38:$L38,"")=10,"","NULL")</f>
        <v>NULL</v>
      </c>
      <c r="D38" s="6" t="str">
        <f>IF(COUNTIF(PC.IT105.Inp!$C38:$L38,"")=10,"","NULL")</f>
        <v>NULL</v>
      </c>
      <c r="E38" s="6">
        <f>IF(COUNTIF(PC.IT105.Inp!$C38:$L38,"")=10,"",$B38)</f>
        <v>37</v>
      </c>
      <c r="F38" s="6">
        <f>IF(COUNTIF(PC.IT105.Inp!$C38:$L38,"")=10,"",IF(PC.IT105.Inp!$C38="","NULL",PC.IT105.Inp!$C38))</f>
        <v>630</v>
      </c>
      <c r="G38" s="6">
        <f>IF(COUNTIF(PC.IT105.Inp!$C38:$L38,"")=10,"",IF(PC.IT105.Inp!$D38="","NULL",PC.IT105.Inp!$D38))</f>
        <v>252</v>
      </c>
      <c r="H38" s="6">
        <f>IF(COUNTIF(PC.IT105.Inp!$C38:$L38,"")=10,"",IF(PC.IT105.Inp!$E38="","NULL",PC.IT105.Inp!$E38))</f>
        <v>72</v>
      </c>
      <c r="I38" s="6">
        <f>IF(COUNTIF(PC.IT105.Inp!$C38:$L38,"")=10,"",IF(PC.IT105.Inp!$F38="","NULL",PC.IT105.Inp!$F38))</f>
        <v>72</v>
      </c>
      <c r="J38" s="6" t="str">
        <f>IF(COUNTIF(PC.IT105.Inp!$C38:$L38,"")=10,"",IF(PC.IT105.Inp!$G38="","NULL",""""&amp;PC.IT105.Inp!$G38&amp;""""))</f>
        <v>"K"</v>
      </c>
      <c r="K38" s="6" t="str">
        <f>IF(COUNTIF(PC.IT105.Inp!$C38:$L38,"")=10,"",IF(PC.IT105.Inp!$H38="","NULL",""""&amp;PC.IT105.Inp!$H38&amp;""""))</f>
        <v>"k"</v>
      </c>
      <c r="L38" s="6" t="str">
        <f>IF(COUNTIF(PC.IT105.Inp!$C38:$L38,"")=10,"",IF(PC.IT105.Inp!$I38="","NULL",""""&amp;PC.IT105.Inp!$I38&amp;""""))</f>
        <v>NULL</v>
      </c>
      <c r="M38" s="6" t="str">
        <f>IF(COUNTIF(PC.IT105.Inp!$C38:$L38,"")=10,"",IF(PC.IT105.Inp!$J38="","NULL",""""&amp;PC.IT105.Inp!$J38&amp;""""))</f>
        <v>NULL</v>
      </c>
      <c r="N38" s="6">
        <f>IF(COUNTIF(PC.IT105.Inp!$C38:$L38,"")=10,"",IF(PC.IT105.Inp!$K38="","NULL",PC.IT105.Inp!$K38))</f>
        <v>1</v>
      </c>
      <c r="O38" s="6">
        <f>IF(COUNTIF(PC.IT105.Inp!$C38:$L38,"")=10,"",IF(PC.IT105.Inp!$L38="","NULL",PC.IT105.Inp!$L38))</f>
        <v>0</v>
      </c>
      <c r="P38" s="7" t="str">
        <f>IF(COUNTIF(PC.TU105.Inp!$C38:$L38,"")=10,"","("&amp;aconcat($C38:$O38,",")&amp;"),")</f>
        <v>(NULL,NULL,37,630,252,72,72,"K","k",NULL,NULL,1,0),</v>
      </c>
    </row>
    <row r="39" spans="1:16" x14ac:dyDescent="0.3">
      <c r="A39" s="1" t="s">
        <v>83</v>
      </c>
      <c r="B39" s="1">
        <f t="shared" si="0"/>
        <v>38</v>
      </c>
      <c r="C39" s="6" t="str">
        <f>IF(COUNTIF(PC.IT105.Inp!$C39:$L39,"")=10,"","NULL")</f>
        <v>NULL</v>
      </c>
      <c r="D39" s="6" t="str">
        <f>IF(COUNTIF(PC.IT105.Inp!$C39:$L39,"")=10,"","NULL")</f>
        <v>NULL</v>
      </c>
      <c r="E39" s="6">
        <f>IF(COUNTIF(PC.IT105.Inp!$C39:$L39,"")=10,"",$B39)</f>
        <v>38</v>
      </c>
      <c r="F39" s="6">
        <f>IF(COUNTIF(PC.IT105.Inp!$C39:$L39,"")=10,"",IF(PC.IT105.Inp!$C39="","NULL",PC.IT105.Inp!$C39))</f>
        <v>702</v>
      </c>
      <c r="G39" s="6">
        <f>IF(COUNTIF(PC.IT105.Inp!$C39:$L39,"")=10,"",IF(PC.IT105.Inp!$D39="","NULL",PC.IT105.Inp!$D39))</f>
        <v>252</v>
      </c>
      <c r="H39" s="6">
        <f>IF(COUNTIF(PC.IT105.Inp!$C39:$L39,"")=10,"",IF(PC.IT105.Inp!$E39="","NULL",PC.IT105.Inp!$E39))</f>
        <v>72</v>
      </c>
      <c r="I39" s="6">
        <f>IF(COUNTIF(PC.IT105.Inp!$C39:$L39,"")=10,"",IF(PC.IT105.Inp!$F39="","NULL",PC.IT105.Inp!$F39))</f>
        <v>72</v>
      </c>
      <c r="J39" s="6" t="str">
        <f>IF(COUNTIF(PC.IT105.Inp!$C39:$L39,"")=10,"",IF(PC.IT105.Inp!$G39="","NULL",""""&amp;PC.IT105.Inp!$G39&amp;""""))</f>
        <v>"L"</v>
      </c>
      <c r="K39" s="6" t="str">
        <f>IF(COUNTIF(PC.IT105.Inp!$C39:$L39,"")=10,"",IF(PC.IT105.Inp!$H39="","NULL",""""&amp;PC.IT105.Inp!$H39&amp;""""))</f>
        <v>"l"</v>
      </c>
      <c r="L39" s="6" t="str">
        <f>IF(COUNTIF(PC.IT105.Inp!$C39:$L39,"")=10,"",IF(PC.IT105.Inp!$I39="","NULL",""""&amp;PC.IT105.Inp!$I39&amp;""""))</f>
        <v>NULL</v>
      </c>
      <c r="M39" s="6" t="str">
        <f>IF(COUNTIF(PC.IT105.Inp!$C39:$L39,"")=10,"",IF(PC.IT105.Inp!$J39="","NULL",""""&amp;PC.IT105.Inp!$J39&amp;""""))</f>
        <v>NULL</v>
      </c>
      <c r="N39" s="6">
        <f>IF(COUNTIF(PC.IT105.Inp!$C39:$L39,"")=10,"",IF(PC.IT105.Inp!$K39="","NULL",PC.IT105.Inp!$K39))</f>
        <v>1</v>
      </c>
      <c r="O39" s="6">
        <f>IF(COUNTIF(PC.IT105.Inp!$C39:$L39,"")=10,"",IF(PC.IT105.Inp!$L39="","NULL",PC.IT105.Inp!$L39))</f>
        <v>0</v>
      </c>
      <c r="P39" s="7" t="str">
        <f>IF(COUNTIF(PC.TU105.Inp!$C39:$L39,"")=10,"","("&amp;aconcat($C39:$O39,",")&amp;"),")</f>
        <v>(NULL,NULL,38,702,252,72,72,"L","l",NULL,NULL,1,0),</v>
      </c>
    </row>
    <row r="40" spans="1:16" x14ac:dyDescent="0.3">
      <c r="A40" s="1" t="s">
        <v>203</v>
      </c>
      <c r="B40" s="1">
        <f t="shared" si="0"/>
        <v>39</v>
      </c>
      <c r="C40" s="6" t="str">
        <f>IF(COUNTIF(PC.IT105.Inp!$C40:$L40,"")=10,"","NULL")</f>
        <v>NULL</v>
      </c>
      <c r="D40" s="6" t="str">
        <f>IF(COUNTIF(PC.IT105.Inp!$C40:$L40,"")=10,"","NULL")</f>
        <v>NULL</v>
      </c>
      <c r="E40" s="6">
        <f>IF(COUNTIF(PC.IT105.Inp!$C40:$L40,"")=10,"",$B40)</f>
        <v>39</v>
      </c>
      <c r="F40" s="6">
        <f>IF(COUNTIF(PC.IT105.Inp!$C40:$L40,"")=10,"",IF(PC.IT105.Inp!$C40="","NULL",PC.IT105.Inp!$C40))</f>
        <v>774</v>
      </c>
      <c r="G40" s="6">
        <f>IF(COUNTIF(PC.IT105.Inp!$C40:$L40,"")=10,"",IF(PC.IT105.Inp!$D40="","NULL",PC.IT105.Inp!$D40))</f>
        <v>252</v>
      </c>
      <c r="H40" s="6">
        <f>IF(COUNTIF(PC.IT105.Inp!$C40:$L40,"")=10,"",IF(PC.IT105.Inp!$E40="","NULL",PC.IT105.Inp!$E40))</f>
        <v>72</v>
      </c>
      <c r="I40" s="6">
        <f>IF(COUNTIF(PC.IT105.Inp!$C40:$L40,"")=10,"",IF(PC.IT105.Inp!$F40="","NULL",PC.IT105.Inp!$F40))</f>
        <v>72</v>
      </c>
      <c r="J40" s="6" t="str">
        <f>IF(COUNTIF(PC.IT105.Inp!$C40:$L40,"")=10,"",IF(PC.IT105.Inp!$G40="","NULL",""""&amp;PC.IT105.Inp!$G40&amp;""""))</f>
        <v>"ç"</v>
      </c>
      <c r="K40" s="6" t="str">
        <f>IF(COUNTIF(PC.IT105.Inp!$C40:$L40,"")=10,"",IF(PC.IT105.Inp!$H40="","NULL",""""&amp;PC.IT105.Inp!$H40&amp;""""))</f>
        <v>"ò"</v>
      </c>
      <c r="L40" s="6" t="str">
        <f>IF(COUNTIF(PC.IT105.Inp!$C40:$L40,"")=10,"",IF(PC.IT105.Inp!$I40="","NULL",""""&amp;PC.IT105.Inp!$I40&amp;""""))</f>
        <v>NULL</v>
      </c>
      <c r="M40" s="6" t="str">
        <f>IF(COUNTIF(PC.IT105.Inp!$C40:$L40,"")=10,"",IF(PC.IT105.Inp!$J40="","NULL",""""&amp;PC.IT105.Inp!$J40&amp;""""))</f>
        <v>"@"</v>
      </c>
      <c r="N40" s="6" t="str">
        <f>IF(COUNTIF(PC.IT105.Inp!$C40:$L40,"")=10,"",IF(PC.IT105.Inp!$K40="","NULL",PC.IT105.Inp!$K40))</f>
        <v>0</v>
      </c>
      <c r="O40" s="6">
        <f>IF(COUNTIF(PC.IT105.Inp!$C40:$L40,"")=10,"",IF(PC.IT105.Inp!$L40="","NULL",PC.IT105.Inp!$L40))</f>
        <v>0</v>
      </c>
      <c r="P40" s="7" t="str">
        <f>IF(COUNTIF(PC.TU105.Inp!$C40:$L40,"")=10,"","("&amp;aconcat($C40:$O40,",")&amp;"),")</f>
        <v>(NULL,NULL,39,774,252,72,72,"ç","ò",NULL,"@",0,0),</v>
      </c>
    </row>
    <row r="41" spans="1:16" x14ac:dyDescent="0.3">
      <c r="A41" s="1" t="s">
        <v>204</v>
      </c>
      <c r="B41" s="1">
        <f t="shared" si="0"/>
        <v>40</v>
      </c>
      <c r="C41" s="6" t="str">
        <f>IF(COUNTIF(PC.IT105.Inp!$C41:$L41,"")=10,"","NULL")</f>
        <v>NULL</v>
      </c>
      <c r="D41" s="6" t="str">
        <f>IF(COUNTIF(PC.IT105.Inp!$C41:$L41,"")=10,"","NULL")</f>
        <v>NULL</v>
      </c>
      <c r="E41" s="6">
        <f>IF(COUNTIF(PC.IT105.Inp!$C41:$L41,"")=10,"",$B41)</f>
        <v>40</v>
      </c>
      <c r="F41" s="6">
        <f>IF(COUNTIF(PC.IT105.Inp!$C41:$L41,"")=10,"",IF(PC.IT105.Inp!$C41="","NULL",PC.IT105.Inp!$C41))</f>
        <v>846</v>
      </c>
      <c r="G41" s="6">
        <f>IF(COUNTIF(PC.IT105.Inp!$C41:$L41,"")=10,"",IF(PC.IT105.Inp!$D41="","NULL",PC.IT105.Inp!$D41))</f>
        <v>252</v>
      </c>
      <c r="H41" s="6">
        <f>IF(COUNTIF(PC.IT105.Inp!$C41:$L41,"")=10,"",IF(PC.IT105.Inp!$E41="","NULL",PC.IT105.Inp!$E41))</f>
        <v>72</v>
      </c>
      <c r="I41" s="6">
        <f>IF(COUNTIF(PC.IT105.Inp!$C41:$L41,"")=10,"",IF(PC.IT105.Inp!$F41="","NULL",PC.IT105.Inp!$F41))</f>
        <v>72</v>
      </c>
      <c r="J41" s="6" t="str">
        <f>IF(COUNTIF(PC.IT105.Inp!$C41:$L41,"")=10,"",IF(PC.IT105.Inp!$G41="","NULL",""""&amp;PC.IT105.Inp!$G41&amp;""""))</f>
        <v>"°"</v>
      </c>
      <c r="K41" s="6" t="str">
        <f>IF(COUNTIF(PC.IT105.Inp!$C41:$L41,"")=10,"",IF(PC.IT105.Inp!$H41="","NULL",""""&amp;PC.IT105.Inp!$H41&amp;""""))</f>
        <v>"à"</v>
      </c>
      <c r="L41" s="6" t="str">
        <f>IF(COUNTIF(PC.IT105.Inp!$C41:$L41,"")=10,"",IF(PC.IT105.Inp!$I41="","NULL",""""&amp;PC.IT105.Inp!$I41&amp;""""))</f>
        <v>NULL</v>
      </c>
      <c r="M41" s="6" t="str">
        <f>IF(COUNTIF(PC.IT105.Inp!$C41:$L41,"")=10,"",IF(PC.IT105.Inp!$J41="","NULL",""""&amp;PC.IT105.Inp!$J41&amp;""""))</f>
        <v>"#"</v>
      </c>
      <c r="N41" s="6" t="str">
        <f>IF(COUNTIF(PC.IT105.Inp!$C41:$L41,"")=10,"",IF(PC.IT105.Inp!$K41="","NULL",PC.IT105.Inp!$K41))</f>
        <v>0</v>
      </c>
      <c r="O41" s="6">
        <f>IF(COUNTIF(PC.IT105.Inp!$C41:$L41,"")=10,"",IF(PC.IT105.Inp!$L41="","NULL",PC.IT105.Inp!$L41))</f>
        <v>0</v>
      </c>
      <c r="P41" s="7" t="str">
        <f>IF(COUNTIF(PC.TU105.Inp!$C41:$L41,"")=10,"","("&amp;aconcat($C41:$O41,",")&amp;"),")</f>
        <v>(NULL,NULL,40,846,252,72,72,"°","à",NULL,"#",0,0),</v>
      </c>
    </row>
    <row r="42" spans="1:16" x14ac:dyDescent="0.3">
      <c r="A42" s="1" t="s">
        <v>205</v>
      </c>
      <c r="B42" s="1">
        <f t="shared" si="0"/>
        <v>41</v>
      </c>
      <c r="C42" s="6" t="str">
        <f>IF(COUNTIF(PC.IT105.Inp!$C42:$L42,"")=10,"","NULL")</f>
        <v>NULL</v>
      </c>
      <c r="D42" s="6" t="str">
        <f>IF(COUNTIF(PC.IT105.Inp!$C42:$L42,"")=10,"","NULL")</f>
        <v>NULL</v>
      </c>
      <c r="E42" s="6">
        <f>IF(COUNTIF(PC.IT105.Inp!$C42:$L42,"")=10,"",$B42)</f>
        <v>41</v>
      </c>
      <c r="F42" s="6">
        <f>IF(COUNTIF(PC.IT105.Inp!$C42:$L42,"")=10,"",IF(PC.IT105.Inp!$C42="","NULL",PC.IT105.Inp!$C42))</f>
        <v>918</v>
      </c>
      <c r="G42" s="6">
        <f>IF(COUNTIF(PC.IT105.Inp!$C42:$L42,"")=10,"",IF(PC.IT105.Inp!$D42="","NULL",PC.IT105.Inp!$D42))</f>
        <v>252</v>
      </c>
      <c r="H42" s="6">
        <f>IF(COUNTIF(PC.IT105.Inp!$C42:$L42,"")=10,"",IF(PC.IT105.Inp!$E42="","NULL",PC.IT105.Inp!$E42))</f>
        <v>72</v>
      </c>
      <c r="I42" s="6">
        <f>IF(COUNTIF(PC.IT105.Inp!$C42:$L42,"")=10,"",IF(PC.IT105.Inp!$F42="","NULL",PC.IT105.Inp!$F42))</f>
        <v>72</v>
      </c>
      <c r="J42" s="6" t="str">
        <f>IF(COUNTIF(PC.IT105.Inp!$C42:$L42,"")=10,"",IF(PC.IT105.Inp!$G42="","NULL",""""&amp;PC.IT105.Inp!$G42&amp;""""))</f>
        <v>"§"</v>
      </c>
      <c r="K42" s="6" t="str">
        <f>IF(COUNTIF(PC.IT105.Inp!$C42:$L42,"")=10,"",IF(PC.IT105.Inp!$H42="","NULL",""""&amp;PC.IT105.Inp!$H42&amp;""""))</f>
        <v>"ù"</v>
      </c>
      <c r="L42" s="6" t="str">
        <f>IF(COUNTIF(PC.IT105.Inp!$C42:$L42,"")=10,"",IF(PC.IT105.Inp!$I42="","NULL",""""&amp;PC.IT105.Inp!$I42&amp;""""))</f>
        <v>NULL</v>
      </c>
      <c r="M42" s="6" t="str">
        <f>IF(COUNTIF(PC.IT105.Inp!$C42:$L42,"")=10,"",IF(PC.IT105.Inp!$J42="","NULL",""""&amp;PC.IT105.Inp!$J42&amp;""""))</f>
        <v>NULL</v>
      </c>
      <c r="N42" s="6">
        <f>IF(COUNTIF(PC.IT105.Inp!$C42:$L42,"")=10,"",IF(PC.IT105.Inp!$K42="","NULL",PC.IT105.Inp!$K42))</f>
        <v>0</v>
      </c>
      <c r="O42" s="6">
        <f>IF(COUNTIF(PC.IT105.Inp!$C42:$L42,"")=10,"",IF(PC.IT105.Inp!$L42="","NULL",PC.IT105.Inp!$L42))</f>
        <v>0</v>
      </c>
      <c r="P42" s="7" t="str">
        <f>IF(COUNTIF(PC.TU105.Inp!$C42:$L42,"")=10,"","("&amp;aconcat($C42:$O42,",")&amp;"),")</f>
        <v>(NULL,NULL,41,918,252,72,72,"§","ù",NULL,NULL,0,0),</v>
      </c>
    </row>
    <row r="43" spans="1:16" x14ac:dyDescent="0.3">
      <c r="A43" s="1" t="s">
        <v>167</v>
      </c>
      <c r="B43" s="1">
        <f t="shared" si="0"/>
        <v>42</v>
      </c>
      <c r="C43" s="6" t="str">
        <f>IF(COUNTIF(PC.IT105.Inp!$C43:$L43,"")=10,"","NULL")</f>
        <v>NULL</v>
      </c>
      <c r="D43" s="6" t="str">
        <f>IF(COUNTIF(PC.IT105.Inp!$C43:$L43,"")=10,"","NULL")</f>
        <v>NULL</v>
      </c>
      <c r="E43" s="6">
        <f>IF(COUNTIF(PC.IT105.Inp!$C43:$L43,"")=10,"",$B43)</f>
        <v>42</v>
      </c>
      <c r="F43" s="6">
        <f>IF(COUNTIF(PC.IT105.Inp!$C43:$L43,"")=10,"",IF(PC.IT105.Inp!$C43="","NULL",PC.IT105.Inp!$C43))</f>
        <v>990</v>
      </c>
      <c r="G43" s="6">
        <f>IF(COUNTIF(PC.IT105.Inp!$C43:$L43,"")=10,"",IF(PC.IT105.Inp!$D43="","NULL",PC.IT105.Inp!$D43))</f>
        <v>180</v>
      </c>
      <c r="H43" s="6">
        <f>IF(COUNTIF(PC.IT105.Inp!$C43:$L43,"")=10,"",IF(PC.IT105.Inp!$E43="","NULL",PC.IT105.Inp!$E43))</f>
        <v>90</v>
      </c>
      <c r="I43" s="6">
        <f>IF(COUNTIF(PC.IT105.Inp!$C43:$L43,"")=10,"",IF(PC.IT105.Inp!$F43="","NULL",PC.IT105.Inp!$F43))</f>
        <v>144</v>
      </c>
      <c r="J43" s="6" t="str">
        <f>IF(COUNTIF(PC.IT105.Inp!$C43:$L43,"")=10,"",IF(PC.IT105.Inp!$G43="","NULL",""""&amp;PC.IT105.Inp!$G43&amp;""""))</f>
        <v>NULL</v>
      </c>
      <c r="K43" s="6" t="str">
        <f>IF(COUNTIF(PC.IT105.Inp!$C43:$L43,"")=10,"",IF(PC.IT105.Inp!$H43="","NULL",""""&amp;PC.IT105.Inp!$H43&amp;""""))</f>
        <v>"Enter"</v>
      </c>
      <c r="L43" s="6" t="str">
        <f>IF(COUNTIF(PC.IT105.Inp!$C43:$L43,"")=10,"",IF(PC.IT105.Inp!$I43="","NULL",""""&amp;PC.IT105.Inp!$I43&amp;""""))</f>
        <v>NULL</v>
      </c>
      <c r="M43" s="6" t="str">
        <f>IF(COUNTIF(PC.IT105.Inp!$C43:$L43,"")=10,"",IF(PC.IT105.Inp!$J43="","NULL",""""&amp;PC.IT105.Inp!$J43&amp;""""))</f>
        <v>NULL</v>
      </c>
      <c r="N43" s="6">
        <f>IF(COUNTIF(PC.IT105.Inp!$C43:$L43,"")=10,"",IF(PC.IT105.Inp!$K43="","NULL",PC.IT105.Inp!$K43))</f>
        <v>0</v>
      </c>
      <c r="O43" s="6">
        <f>IF(COUNTIF(PC.IT105.Inp!$C43:$L43,"")=10,"",IF(PC.IT105.Inp!$L43="","NULL",PC.IT105.Inp!$L43))</f>
        <v>0</v>
      </c>
      <c r="P43" s="7" t="str">
        <f>IF(COUNTIF(PC.TU105.Inp!$C43:$L43,"")=10,"","("&amp;aconcat($C43:$O43,",")&amp;"),")</f>
        <v>(NULL,NULL,42,990,180,90,144,NULL,"Enter",NULL,NULL,0,0),</v>
      </c>
    </row>
    <row r="44" spans="1:16" x14ac:dyDescent="0.3">
      <c r="A44" s="1" t="s">
        <v>168</v>
      </c>
      <c r="B44" s="1">
        <f t="shared" si="0"/>
        <v>43</v>
      </c>
      <c r="C44" s="6" t="str">
        <f>IF(COUNTIF(PC.IT105.Inp!$C44:$L44,"")=10,"","NULL")</f>
        <v>NULL</v>
      </c>
      <c r="D44" s="6" t="str">
        <f>IF(COUNTIF(PC.IT105.Inp!$C44:$L44,"")=10,"","NULL")</f>
        <v>NULL</v>
      </c>
      <c r="E44" s="6">
        <f>IF(COUNTIF(PC.IT105.Inp!$C44:$L44,"")=10,"",$B44)</f>
        <v>43</v>
      </c>
      <c r="F44" s="6">
        <f>IF(COUNTIF(PC.IT105.Inp!$C44:$L44,"")=10,"",IF(PC.IT105.Inp!$C44="","NULL",PC.IT105.Inp!$C44))</f>
        <v>0</v>
      </c>
      <c r="G44" s="6">
        <f>IF(COUNTIF(PC.IT105.Inp!$C44:$L44,"")=10,"",IF(PC.IT105.Inp!$D44="","NULL",PC.IT105.Inp!$D44))</f>
        <v>324</v>
      </c>
      <c r="H44" s="6">
        <f>IF(COUNTIF(PC.IT105.Inp!$C44:$L44,"")=10,"",IF(PC.IT105.Inp!$E44="","NULL",PC.IT105.Inp!$E44))</f>
        <v>90</v>
      </c>
      <c r="I44" s="6">
        <f>IF(COUNTIF(PC.IT105.Inp!$C44:$L44,"")=10,"",IF(PC.IT105.Inp!$F44="","NULL",PC.IT105.Inp!$F44))</f>
        <v>72</v>
      </c>
      <c r="J44" s="6" t="str">
        <f>IF(COUNTIF(PC.IT105.Inp!$C44:$L44,"")=10,"",IF(PC.IT105.Inp!$G44="","NULL",""""&amp;PC.IT105.Inp!$G44&amp;""""))</f>
        <v>NULL</v>
      </c>
      <c r="K44" s="6" t="str">
        <f>IF(COUNTIF(PC.IT105.Inp!$C44:$L44,"")=10,"",IF(PC.IT105.Inp!$H44="","NULL",""""&amp;PC.IT105.Inp!$H44&amp;""""))</f>
        <v>"LShift"</v>
      </c>
      <c r="L44" s="6" t="str">
        <f>IF(COUNTIF(PC.IT105.Inp!$C44:$L44,"")=10,"",IF(PC.IT105.Inp!$I44="","NULL",""""&amp;PC.IT105.Inp!$I44&amp;""""))</f>
        <v>NULL</v>
      </c>
      <c r="M44" s="6" t="str">
        <f>IF(COUNTIF(PC.IT105.Inp!$C44:$L44,"")=10,"",IF(PC.IT105.Inp!$J44="","NULL",""""&amp;PC.IT105.Inp!$J44&amp;""""))</f>
        <v>NULL</v>
      </c>
      <c r="N44" s="6">
        <f>IF(COUNTIF(PC.IT105.Inp!$C44:$L44,"")=10,"",IF(PC.IT105.Inp!$K44="","NULL",PC.IT105.Inp!$K44))</f>
        <v>0</v>
      </c>
      <c r="O44" s="6">
        <f>IF(COUNTIF(PC.IT105.Inp!$C44:$L44,"")=10,"",IF(PC.IT105.Inp!$L44="","NULL",PC.IT105.Inp!$L44))</f>
        <v>0</v>
      </c>
      <c r="P44" s="7" t="str">
        <f>IF(COUNTIF(PC.TU105.Inp!$C44:$L44,"")=10,"","("&amp;aconcat($C44:$O44,",")&amp;"),")</f>
        <v>(NULL,NULL,43,0,324,90,72,NULL,"LShift",NULL,NULL,0,0),</v>
      </c>
    </row>
    <row r="45" spans="1:16" x14ac:dyDescent="0.3">
      <c r="A45" s="1" t="s">
        <v>92</v>
      </c>
      <c r="B45" s="1">
        <f t="shared" si="0"/>
        <v>44</v>
      </c>
      <c r="C45" s="6" t="str">
        <f>IF(COUNTIF(PC.IT105.Inp!$C45:$L45,"")=10,"","NULL")</f>
        <v>NULL</v>
      </c>
      <c r="D45" s="6" t="str">
        <f>IF(COUNTIF(PC.IT105.Inp!$C45:$L45,"")=10,"","NULL")</f>
        <v>NULL</v>
      </c>
      <c r="E45" s="6">
        <f>IF(COUNTIF(PC.IT105.Inp!$C45:$L45,"")=10,"",$B45)</f>
        <v>44</v>
      </c>
      <c r="F45" s="6">
        <f>IF(COUNTIF(PC.IT105.Inp!$C45:$L45,"")=10,"",IF(PC.IT105.Inp!$C45="","NULL",PC.IT105.Inp!$C45))</f>
        <v>90</v>
      </c>
      <c r="G45" s="6">
        <f>IF(COUNTIF(PC.IT105.Inp!$C45:$L45,"")=10,"",IF(PC.IT105.Inp!$D45="","NULL",PC.IT105.Inp!$D45))</f>
        <v>324</v>
      </c>
      <c r="H45" s="6">
        <f>IF(COUNTIF(PC.IT105.Inp!$C45:$L45,"")=10,"",IF(PC.IT105.Inp!$E45="","NULL",PC.IT105.Inp!$E45))</f>
        <v>72</v>
      </c>
      <c r="I45" s="6">
        <f>IF(COUNTIF(PC.IT105.Inp!$C45:$L45,"")=10,"",IF(PC.IT105.Inp!$F45="","NULL",PC.IT105.Inp!$F45))</f>
        <v>72</v>
      </c>
      <c r="J45" s="6" t="str">
        <f>IF(COUNTIF(PC.IT105.Inp!$C45:$L45,"")=10,"",IF(PC.IT105.Inp!$G45="","NULL",""""&amp;PC.IT105.Inp!$G45&amp;""""))</f>
        <v>"&gt;"</v>
      </c>
      <c r="K45" s="6" t="str">
        <f>IF(COUNTIF(PC.IT105.Inp!$C45:$L45,"")=10,"",IF(PC.IT105.Inp!$H45="","NULL",""""&amp;PC.IT105.Inp!$H45&amp;""""))</f>
        <v>"&lt;"</v>
      </c>
      <c r="L45" s="6" t="str">
        <f>IF(COUNTIF(PC.IT105.Inp!$C45:$L45,"")=10,"",IF(PC.IT105.Inp!$I45="","NULL",""""&amp;PC.IT105.Inp!$I45&amp;""""))</f>
        <v>NULL</v>
      </c>
      <c r="M45" s="6" t="str">
        <f>IF(COUNTIF(PC.IT105.Inp!$C45:$L45,"")=10,"",IF(PC.IT105.Inp!$J45="","NULL",""""&amp;PC.IT105.Inp!$J45&amp;""""))</f>
        <v>NULL</v>
      </c>
      <c r="N45" s="6">
        <f>IF(COUNTIF(PC.IT105.Inp!$C45:$L45,"")=10,"",IF(PC.IT105.Inp!$K45="","NULL",PC.IT105.Inp!$K45))</f>
        <v>0</v>
      </c>
      <c r="O45" s="6">
        <f>IF(COUNTIF(PC.IT105.Inp!$C45:$L45,"")=10,"",IF(PC.IT105.Inp!$L45="","NULL",PC.IT105.Inp!$L45))</f>
        <v>0</v>
      </c>
      <c r="P45" s="7" t="str">
        <f>IF(COUNTIF(PC.TU105.Inp!$C45:$L45,"")=10,"","("&amp;aconcat($C45:$O45,",")&amp;"),")</f>
        <v>(NULL,NULL,44,90,324,72,72,"&gt;","&lt;",NULL,NULL,0,0),</v>
      </c>
    </row>
    <row r="46" spans="1:16" x14ac:dyDescent="0.3">
      <c r="A46" s="1" t="s">
        <v>51</v>
      </c>
      <c r="B46" s="1">
        <f t="shared" si="0"/>
        <v>45</v>
      </c>
      <c r="C46" s="6" t="str">
        <f>IF(COUNTIF(PC.IT105.Inp!$C46:$L46,"")=10,"","NULL")</f>
        <v>NULL</v>
      </c>
      <c r="D46" s="6" t="str">
        <f>IF(COUNTIF(PC.IT105.Inp!$C46:$L46,"")=10,"","NULL")</f>
        <v>NULL</v>
      </c>
      <c r="E46" s="6">
        <f>IF(COUNTIF(PC.IT105.Inp!$C46:$L46,"")=10,"",$B46)</f>
        <v>45</v>
      </c>
      <c r="F46" s="6">
        <f>IF(COUNTIF(PC.IT105.Inp!$C46:$L46,"")=10,"",IF(PC.IT105.Inp!$C46="","NULL",PC.IT105.Inp!$C46))</f>
        <v>162</v>
      </c>
      <c r="G46" s="6">
        <f>IF(COUNTIF(PC.IT105.Inp!$C46:$L46,"")=10,"",IF(PC.IT105.Inp!$D46="","NULL",PC.IT105.Inp!$D46))</f>
        <v>324</v>
      </c>
      <c r="H46" s="6">
        <f>IF(COUNTIF(PC.IT105.Inp!$C46:$L46,"")=10,"",IF(PC.IT105.Inp!$E46="","NULL",PC.IT105.Inp!$E46))</f>
        <v>72</v>
      </c>
      <c r="I46" s="6">
        <f>IF(COUNTIF(PC.IT105.Inp!$C46:$L46,"")=10,"",IF(PC.IT105.Inp!$F46="","NULL",PC.IT105.Inp!$F46))</f>
        <v>72</v>
      </c>
      <c r="J46" s="6" t="str">
        <f>IF(COUNTIF(PC.IT105.Inp!$C46:$L46,"")=10,"",IF(PC.IT105.Inp!$G46="","NULL",""""&amp;PC.IT105.Inp!$G46&amp;""""))</f>
        <v>"Z"</v>
      </c>
      <c r="K46" s="6" t="str">
        <f>IF(COUNTIF(PC.IT105.Inp!$C46:$L46,"")=10,"",IF(PC.IT105.Inp!$H46="","NULL",""""&amp;PC.IT105.Inp!$H46&amp;""""))</f>
        <v>"z"</v>
      </c>
      <c r="L46" s="6" t="str">
        <f>IF(COUNTIF(PC.IT105.Inp!$C46:$L46,"")=10,"",IF(PC.IT105.Inp!$I46="","NULL",""""&amp;PC.IT105.Inp!$I46&amp;""""))</f>
        <v>NULL</v>
      </c>
      <c r="M46" s="6" t="str">
        <f>IF(COUNTIF(PC.IT105.Inp!$C46:$L46,"")=10,"",IF(PC.IT105.Inp!$J46="","NULL",""""&amp;PC.IT105.Inp!$J46&amp;""""))</f>
        <v>NULL</v>
      </c>
      <c r="N46" s="6">
        <f>IF(COUNTIF(PC.IT105.Inp!$C46:$L46,"")=10,"",IF(PC.IT105.Inp!$K46="","NULL",PC.IT105.Inp!$K46))</f>
        <v>1</v>
      </c>
      <c r="O46" s="6">
        <f>IF(COUNTIF(PC.IT105.Inp!$C46:$L46,"")=10,"",IF(PC.IT105.Inp!$L46="","NULL",PC.IT105.Inp!$L46))</f>
        <v>0</v>
      </c>
      <c r="P46" s="7" t="str">
        <f>IF(COUNTIF(PC.TU105.Inp!$C46:$L46,"")=10,"","("&amp;aconcat($C46:$O46,",")&amp;"),")</f>
        <v>(NULL,NULL,45,162,324,72,72,"Z","z",NULL,NULL,1,0),</v>
      </c>
    </row>
    <row r="47" spans="1:16" x14ac:dyDescent="0.3">
      <c r="A47" s="1" t="s">
        <v>97</v>
      </c>
      <c r="B47" s="1">
        <f t="shared" si="0"/>
        <v>46</v>
      </c>
      <c r="C47" s="6" t="str">
        <f>IF(COUNTIF(PC.IT105.Inp!$C47:$L47,"")=10,"","NULL")</f>
        <v>NULL</v>
      </c>
      <c r="D47" s="6" t="str">
        <f>IF(COUNTIF(PC.IT105.Inp!$C47:$L47,"")=10,"","NULL")</f>
        <v>NULL</v>
      </c>
      <c r="E47" s="6">
        <f>IF(COUNTIF(PC.IT105.Inp!$C47:$L47,"")=10,"",$B47)</f>
        <v>46</v>
      </c>
      <c r="F47" s="6">
        <f>IF(COUNTIF(PC.IT105.Inp!$C47:$L47,"")=10,"",IF(PC.IT105.Inp!$C47="","NULL",PC.IT105.Inp!$C47))</f>
        <v>234</v>
      </c>
      <c r="G47" s="6">
        <f>IF(COUNTIF(PC.IT105.Inp!$C47:$L47,"")=10,"",IF(PC.IT105.Inp!$D47="","NULL",PC.IT105.Inp!$D47))</f>
        <v>324</v>
      </c>
      <c r="H47" s="6">
        <f>IF(COUNTIF(PC.IT105.Inp!$C47:$L47,"")=10,"",IF(PC.IT105.Inp!$E47="","NULL",PC.IT105.Inp!$E47))</f>
        <v>72</v>
      </c>
      <c r="I47" s="6">
        <f>IF(COUNTIF(PC.IT105.Inp!$C47:$L47,"")=10,"",IF(PC.IT105.Inp!$F47="","NULL",PC.IT105.Inp!$F47))</f>
        <v>72</v>
      </c>
      <c r="J47" s="6" t="str">
        <f>IF(COUNTIF(PC.IT105.Inp!$C47:$L47,"")=10,"",IF(PC.IT105.Inp!$G47="","NULL",""""&amp;PC.IT105.Inp!$G47&amp;""""))</f>
        <v>"X"</v>
      </c>
      <c r="K47" s="6" t="str">
        <f>IF(COUNTIF(PC.IT105.Inp!$C47:$L47,"")=10,"",IF(PC.IT105.Inp!$H47="","NULL",""""&amp;PC.IT105.Inp!$H47&amp;""""))</f>
        <v>"x"</v>
      </c>
      <c r="L47" s="6" t="str">
        <f>IF(COUNTIF(PC.IT105.Inp!$C47:$L47,"")=10,"",IF(PC.IT105.Inp!$I47="","NULL",""""&amp;PC.IT105.Inp!$I47&amp;""""))</f>
        <v>NULL</v>
      </c>
      <c r="M47" s="6" t="str">
        <f>IF(COUNTIF(PC.IT105.Inp!$C47:$L47,"")=10,"",IF(PC.IT105.Inp!$J47="","NULL",""""&amp;PC.IT105.Inp!$J47&amp;""""))</f>
        <v>NULL</v>
      </c>
      <c r="N47" s="6">
        <f>IF(COUNTIF(PC.IT105.Inp!$C47:$L47,"")=10,"",IF(PC.IT105.Inp!$K47="","NULL",PC.IT105.Inp!$K47))</f>
        <v>1</v>
      </c>
      <c r="O47" s="6">
        <f>IF(COUNTIF(PC.IT105.Inp!$C47:$L47,"")=10,"",IF(PC.IT105.Inp!$L47="","NULL",PC.IT105.Inp!$L47))</f>
        <v>0</v>
      </c>
      <c r="P47" s="7" t="str">
        <f>IF(COUNTIF(PC.TU105.Inp!$C47:$L47,"")=10,"","("&amp;aconcat($C47:$O47,",")&amp;"),")</f>
        <v>(NULL,NULL,46,234,324,72,72,"X","x",NULL,NULL,1,0),</v>
      </c>
    </row>
    <row r="48" spans="1:16" x14ac:dyDescent="0.3">
      <c r="A48" s="1" t="s">
        <v>99</v>
      </c>
      <c r="B48" s="1">
        <f t="shared" si="0"/>
        <v>47</v>
      </c>
      <c r="C48" s="6" t="str">
        <f>IF(COUNTIF(PC.IT105.Inp!$C48:$L48,"")=10,"","NULL")</f>
        <v>NULL</v>
      </c>
      <c r="D48" s="6" t="str">
        <f>IF(COUNTIF(PC.IT105.Inp!$C48:$L48,"")=10,"","NULL")</f>
        <v>NULL</v>
      </c>
      <c r="E48" s="6">
        <f>IF(COUNTIF(PC.IT105.Inp!$C48:$L48,"")=10,"",$B48)</f>
        <v>47</v>
      </c>
      <c r="F48" s="6">
        <f>IF(COUNTIF(PC.IT105.Inp!$C48:$L48,"")=10,"",IF(PC.IT105.Inp!$C48="","NULL",PC.IT105.Inp!$C48))</f>
        <v>306</v>
      </c>
      <c r="G48" s="6">
        <f>IF(COUNTIF(PC.IT105.Inp!$C48:$L48,"")=10,"",IF(PC.IT105.Inp!$D48="","NULL",PC.IT105.Inp!$D48))</f>
        <v>324</v>
      </c>
      <c r="H48" s="6">
        <f>IF(COUNTIF(PC.IT105.Inp!$C48:$L48,"")=10,"",IF(PC.IT105.Inp!$E48="","NULL",PC.IT105.Inp!$E48))</f>
        <v>72</v>
      </c>
      <c r="I48" s="6">
        <f>IF(COUNTIF(PC.IT105.Inp!$C48:$L48,"")=10,"",IF(PC.IT105.Inp!$F48="","NULL",PC.IT105.Inp!$F48))</f>
        <v>72</v>
      </c>
      <c r="J48" s="6" t="str">
        <f>IF(COUNTIF(PC.IT105.Inp!$C48:$L48,"")=10,"",IF(PC.IT105.Inp!$G48="","NULL",""""&amp;PC.IT105.Inp!$G48&amp;""""))</f>
        <v>"C"</v>
      </c>
      <c r="K48" s="6" t="str">
        <f>IF(COUNTIF(PC.IT105.Inp!$C48:$L48,"")=10,"",IF(PC.IT105.Inp!$H48="","NULL",""""&amp;PC.IT105.Inp!$H48&amp;""""))</f>
        <v>"c"</v>
      </c>
      <c r="L48" s="6" t="str">
        <f>IF(COUNTIF(PC.IT105.Inp!$C48:$L48,"")=10,"",IF(PC.IT105.Inp!$I48="","NULL",""""&amp;PC.IT105.Inp!$I48&amp;""""))</f>
        <v>NULL</v>
      </c>
      <c r="M48" s="6" t="str">
        <f>IF(COUNTIF(PC.IT105.Inp!$C48:$L48,"")=10,"",IF(PC.IT105.Inp!$J48="","NULL",""""&amp;PC.IT105.Inp!$J48&amp;""""))</f>
        <v>NULL</v>
      </c>
      <c r="N48" s="6">
        <f>IF(COUNTIF(PC.IT105.Inp!$C48:$L48,"")=10,"",IF(PC.IT105.Inp!$K48="","NULL",PC.IT105.Inp!$K48))</f>
        <v>1</v>
      </c>
      <c r="O48" s="6">
        <f>IF(COUNTIF(PC.IT105.Inp!$C48:$L48,"")=10,"",IF(PC.IT105.Inp!$L48="","NULL",PC.IT105.Inp!$L48))</f>
        <v>0</v>
      </c>
      <c r="P48" s="7" t="str">
        <f>IF(COUNTIF(PC.TU105.Inp!$C48:$L48,"")=10,"","("&amp;aconcat($C48:$O48,",")&amp;"),")</f>
        <v>(NULL,NULL,47,306,324,72,72,"C","c",NULL,NULL,1,0),</v>
      </c>
    </row>
    <row r="49" spans="1:16" x14ac:dyDescent="0.3">
      <c r="A49" s="1" t="s">
        <v>101</v>
      </c>
      <c r="B49" s="1">
        <f t="shared" si="0"/>
        <v>48</v>
      </c>
      <c r="C49" s="6" t="str">
        <f>IF(COUNTIF(PC.IT105.Inp!$C49:$L49,"")=10,"","NULL")</f>
        <v>NULL</v>
      </c>
      <c r="D49" s="6" t="str">
        <f>IF(COUNTIF(PC.IT105.Inp!$C49:$L49,"")=10,"","NULL")</f>
        <v>NULL</v>
      </c>
      <c r="E49" s="6">
        <f>IF(COUNTIF(PC.IT105.Inp!$C49:$L49,"")=10,"",$B49)</f>
        <v>48</v>
      </c>
      <c r="F49" s="6">
        <f>IF(COUNTIF(PC.IT105.Inp!$C49:$L49,"")=10,"",IF(PC.IT105.Inp!$C49="","NULL",PC.IT105.Inp!$C49))</f>
        <v>378</v>
      </c>
      <c r="G49" s="6">
        <f>IF(COUNTIF(PC.IT105.Inp!$C49:$L49,"")=10,"",IF(PC.IT105.Inp!$D49="","NULL",PC.IT105.Inp!$D49))</f>
        <v>324</v>
      </c>
      <c r="H49" s="6">
        <f>IF(COUNTIF(PC.IT105.Inp!$C49:$L49,"")=10,"",IF(PC.IT105.Inp!$E49="","NULL",PC.IT105.Inp!$E49))</f>
        <v>72</v>
      </c>
      <c r="I49" s="6">
        <f>IF(COUNTIF(PC.IT105.Inp!$C49:$L49,"")=10,"",IF(PC.IT105.Inp!$F49="","NULL",PC.IT105.Inp!$F49))</f>
        <v>72</v>
      </c>
      <c r="J49" s="6" t="str">
        <f>IF(COUNTIF(PC.IT105.Inp!$C49:$L49,"")=10,"",IF(PC.IT105.Inp!$G49="","NULL",""""&amp;PC.IT105.Inp!$G49&amp;""""))</f>
        <v>"V"</v>
      </c>
      <c r="K49" s="6" t="str">
        <f>IF(COUNTIF(PC.IT105.Inp!$C49:$L49,"")=10,"",IF(PC.IT105.Inp!$H49="","NULL",""""&amp;PC.IT105.Inp!$H49&amp;""""))</f>
        <v>"v"</v>
      </c>
      <c r="L49" s="6" t="str">
        <f>IF(COUNTIF(PC.IT105.Inp!$C49:$L49,"")=10,"",IF(PC.IT105.Inp!$I49="","NULL",""""&amp;PC.IT105.Inp!$I49&amp;""""))</f>
        <v>NULL</v>
      </c>
      <c r="M49" s="6" t="str">
        <f>IF(COUNTIF(PC.IT105.Inp!$C49:$L49,"")=10,"",IF(PC.IT105.Inp!$J49="","NULL",""""&amp;PC.IT105.Inp!$J49&amp;""""))</f>
        <v>NULL</v>
      </c>
      <c r="N49" s="6">
        <f>IF(COUNTIF(PC.IT105.Inp!$C49:$L49,"")=10,"",IF(PC.IT105.Inp!$K49="","NULL",PC.IT105.Inp!$K49))</f>
        <v>1</v>
      </c>
      <c r="O49" s="6">
        <f>IF(COUNTIF(PC.IT105.Inp!$C49:$L49,"")=10,"",IF(PC.IT105.Inp!$L49="","NULL",PC.IT105.Inp!$L49))</f>
        <v>0</v>
      </c>
      <c r="P49" s="7" t="str">
        <f>IF(COUNTIF(PC.TU105.Inp!$C49:$L49,"")=10,"","("&amp;aconcat($C49:$O49,",")&amp;"),")</f>
        <v>(NULL,NULL,48,378,324,72,72,"V","v",NULL,NULL,1,0),</v>
      </c>
    </row>
    <row r="50" spans="1:16" x14ac:dyDescent="0.3">
      <c r="A50" s="1" t="s">
        <v>103</v>
      </c>
      <c r="B50" s="1">
        <f t="shared" si="0"/>
        <v>49</v>
      </c>
      <c r="C50" s="6" t="str">
        <f>IF(COUNTIF(PC.IT105.Inp!$C50:$L50,"")=10,"","NULL")</f>
        <v>NULL</v>
      </c>
      <c r="D50" s="6" t="str">
        <f>IF(COUNTIF(PC.IT105.Inp!$C50:$L50,"")=10,"","NULL")</f>
        <v>NULL</v>
      </c>
      <c r="E50" s="6">
        <f>IF(COUNTIF(PC.IT105.Inp!$C50:$L50,"")=10,"",$B50)</f>
        <v>49</v>
      </c>
      <c r="F50" s="6">
        <f>IF(COUNTIF(PC.IT105.Inp!$C50:$L50,"")=10,"",IF(PC.IT105.Inp!$C50="","NULL",PC.IT105.Inp!$C50))</f>
        <v>450</v>
      </c>
      <c r="G50" s="6">
        <f>IF(COUNTIF(PC.IT105.Inp!$C50:$L50,"")=10,"",IF(PC.IT105.Inp!$D50="","NULL",PC.IT105.Inp!$D50))</f>
        <v>324</v>
      </c>
      <c r="H50" s="6">
        <f>IF(COUNTIF(PC.IT105.Inp!$C50:$L50,"")=10,"",IF(PC.IT105.Inp!$E50="","NULL",PC.IT105.Inp!$E50))</f>
        <v>72</v>
      </c>
      <c r="I50" s="6">
        <f>IF(COUNTIF(PC.IT105.Inp!$C50:$L50,"")=10,"",IF(PC.IT105.Inp!$F50="","NULL",PC.IT105.Inp!$F50))</f>
        <v>72</v>
      </c>
      <c r="J50" s="6" t="str">
        <f>IF(COUNTIF(PC.IT105.Inp!$C50:$L50,"")=10,"",IF(PC.IT105.Inp!$G50="","NULL",""""&amp;PC.IT105.Inp!$G50&amp;""""))</f>
        <v>"B"</v>
      </c>
      <c r="K50" s="6" t="str">
        <f>IF(COUNTIF(PC.IT105.Inp!$C50:$L50,"")=10,"",IF(PC.IT105.Inp!$H50="","NULL",""""&amp;PC.IT105.Inp!$H50&amp;""""))</f>
        <v>"b"</v>
      </c>
      <c r="L50" s="6" t="str">
        <f>IF(COUNTIF(PC.IT105.Inp!$C50:$L50,"")=10,"",IF(PC.IT105.Inp!$I50="","NULL",""""&amp;PC.IT105.Inp!$I50&amp;""""))</f>
        <v>NULL</v>
      </c>
      <c r="M50" s="6" t="str">
        <f>IF(COUNTIF(PC.IT105.Inp!$C50:$L50,"")=10,"",IF(PC.IT105.Inp!$J50="","NULL",""""&amp;PC.IT105.Inp!$J50&amp;""""))</f>
        <v>NULL</v>
      </c>
      <c r="N50" s="6">
        <f>IF(COUNTIF(PC.IT105.Inp!$C50:$L50,"")=10,"",IF(PC.IT105.Inp!$K50="","NULL",PC.IT105.Inp!$K50))</f>
        <v>1</v>
      </c>
      <c r="O50" s="6">
        <f>IF(COUNTIF(PC.IT105.Inp!$C50:$L50,"")=10,"",IF(PC.IT105.Inp!$L50="","NULL",PC.IT105.Inp!$L50))</f>
        <v>0</v>
      </c>
      <c r="P50" s="7" t="str">
        <f>IF(COUNTIF(PC.TU105.Inp!$C50:$L50,"")=10,"","("&amp;aconcat($C50:$O50,",")&amp;"),")</f>
        <v>(NULL,NULL,49,450,324,72,72,"B","b",NULL,NULL,1,0),</v>
      </c>
    </row>
    <row r="51" spans="1:16" x14ac:dyDescent="0.3">
      <c r="A51" s="1" t="s">
        <v>105</v>
      </c>
      <c r="B51" s="1">
        <f t="shared" si="0"/>
        <v>50</v>
      </c>
      <c r="C51" s="6" t="str">
        <f>IF(COUNTIF(PC.IT105.Inp!$C51:$L51,"")=10,"","NULL")</f>
        <v>NULL</v>
      </c>
      <c r="D51" s="6" t="str">
        <f>IF(COUNTIF(PC.IT105.Inp!$C51:$L51,"")=10,"","NULL")</f>
        <v>NULL</v>
      </c>
      <c r="E51" s="6">
        <f>IF(COUNTIF(PC.IT105.Inp!$C51:$L51,"")=10,"",$B51)</f>
        <v>50</v>
      </c>
      <c r="F51" s="6">
        <f>IF(COUNTIF(PC.IT105.Inp!$C51:$L51,"")=10,"",IF(PC.IT105.Inp!$C51="","NULL",PC.IT105.Inp!$C51))</f>
        <v>522</v>
      </c>
      <c r="G51" s="6">
        <f>IF(COUNTIF(PC.IT105.Inp!$C51:$L51,"")=10,"",IF(PC.IT105.Inp!$D51="","NULL",PC.IT105.Inp!$D51))</f>
        <v>324</v>
      </c>
      <c r="H51" s="6">
        <f>IF(COUNTIF(PC.IT105.Inp!$C51:$L51,"")=10,"",IF(PC.IT105.Inp!$E51="","NULL",PC.IT105.Inp!$E51))</f>
        <v>72</v>
      </c>
      <c r="I51" s="6">
        <f>IF(COUNTIF(PC.IT105.Inp!$C51:$L51,"")=10,"",IF(PC.IT105.Inp!$F51="","NULL",PC.IT105.Inp!$F51))</f>
        <v>72</v>
      </c>
      <c r="J51" s="6" t="str">
        <f>IF(COUNTIF(PC.IT105.Inp!$C51:$L51,"")=10,"",IF(PC.IT105.Inp!$G51="","NULL",""""&amp;PC.IT105.Inp!$G51&amp;""""))</f>
        <v>"N"</v>
      </c>
      <c r="K51" s="6" t="str">
        <f>IF(COUNTIF(PC.IT105.Inp!$C51:$L51,"")=10,"",IF(PC.IT105.Inp!$H51="","NULL",""""&amp;PC.IT105.Inp!$H51&amp;""""))</f>
        <v>"n"</v>
      </c>
      <c r="L51" s="6" t="str">
        <f>IF(COUNTIF(PC.IT105.Inp!$C51:$L51,"")=10,"",IF(PC.IT105.Inp!$I51="","NULL",""""&amp;PC.IT105.Inp!$I51&amp;""""))</f>
        <v>NULL</v>
      </c>
      <c r="M51" s="6" t="str">
        <f>IF(COUNTIF(PC.IT105.Inp!$C51:$L51,"")=10,"",IF(PC.IT105.Inp!$J51="","NULL",""""&amp;PC.IT105.Inp!$J51&amp;""""))</f>
        <v>NULL</v>
      </c>
      <c r="N51" s="6">
        <f>IF(COUNTIF(PC.IT105.Inp!$C51:$L51,"")=10,"",IF(PC.IT105.Inp!$K51="","NULL",PC.IT105.Inp!$K51))</f>
        <v>1</v>
      </c>
      <c r="O51" s="6">
        <f>IF(COUNTIF(PC.IT105.Inp!$C51:$L51,"")=10,"",IF(PC.IT105.Inp!$L51="","NULL",PC.IT105.Inp!$L51))</f>
        <v>0</v>
      </c>
      <c r="P51" s="7" t="str">
        <f>IF(COUNTIF(PC.TU105.Inp!$C51:$L51,"")=10,"","("&amp;aconcat($C51:$O51,",")&amp;"),")</f>
        <v>(NULL,NULL,50,522,324,72,72,"N","n",NULL,NULL,1,0),</v>
      </c>
    </row>
    <row r="52" spans="1:16" x14ac:dyDescent="0.3">
      <c r="A52" s="1" t="s">
        <v>107</v>
      </c>
      <c r="B52" s="1">
        <f t="shared" si="0"/>
        <v>51</v>
      </c>
      <c r="C52" s="6" t="str">
        <f>IF(COUNTIF(PC.IT105.Inp!$C52:$L52,"")=10,"","NULL")</f>
        <v>NULL</v>
      </c>
      <c r="D52" s="6" t="str">
        <f>IF(COUNTIF(PC.IT105.Inp!$C52:$L52,"")=10,"","NULL")</f>
        <v>NULL</v>
      </c>
      <c r="E52" s="6">
        <f>IF(COUNTIF(PC.IT105.Inp!$C52:$L52,"")=10,"",$B52)</f>
        <v>51</v>
      </c>
      <c r="F52" s="6">
        <f>IF(COUNTIF(PC.IT105.Inp!$C52:$L52,"")=10,"",IF(PC.IT105.Inp!$C52="","NULL",PC.IT105.Inp!$C52))</f>
        <v>594</v>
      </c>
      <c r="G52" s="6">
        <f>IF(COUNTIF(PC.IT105.Inp!$C52:$L52,"")=10,"",IF(PC.IT105.Inp!$D52="","NULL",PC.IT105.Inp!$D52))</f>
        <v>324</v>
      </c>
      <c r="H52" s="6">
        <f>IF(COUNTIF(PC.IT105.Inp!$C52:$L52,"")=10,"",IF(PC.IT105.Inp!$E52="","NULL",PC.IT105.Inp!$E52))</f>
        <v>72</v>
      </c>
      <c r="I52" s="6">
        <f>IF(COUNTIF(PC.IT105.Inp!$C52:$L52,"")=10,"",IF(PC.IT105.Inp!$F52="","NULL",PC.IT105.Inp!$F52))</f>
        <v>72</v>
      </c>
      <c r="J52" s="6" t="str">
        <f>IF(COUNTIF(PC.IT105.Inp!$C52:$L52,"")=10,"",IF(PC.IT105.Inp!$G52="","NULL",""""&amp;PC.IT105.Inp!$G52&amp;""""))</f>
        <v>"M"</v>
      </c>
      <c r="K52" s="6" t="str">
        <f>IF(COUNTIF(PC.IT105.Inp!$C52:$L52,"")=10,"",IF(PC.IT105.Inp!$H52="","NULL",""""&amp;PC.IT105.Inp!$H52&amp;""""))</f>
        <v>"m"</v>
      </c>
      <c r="L52" s="6" t="str">
        <f>IF(COUNTIF(PC.IT105.Inp!$C52:$L52,"")=10,"",IF(PC.IT105.Inp!$I52="","NULL",""""&amp;PC.IT105.Inp!$I52&amp;""""))</f>
        <v>NULL</v>
      </c>
      <c r="M52" s="6" t="str">
        <f>IF(COUNTIF(PC.IT105.Inp!$C52:$L52,"")=10,"",IF(PC.IT105.Inp!$J52="","NULL",""""&amp;PC.IT105.Inp!$J52&amp;""""))</f>
        <v>NULL</v>
      </c>
      <c r="N52" s="6">
        <f>IF(COUNTIF(PC.IT105.Inp!$C52:$L52,"")=10,"",IF(PC.IT105.Inp!$K52="","NULL",PC.IT105.Inp!$K52))</f>
        <v>1</v>
      </c>
      <c r="O52" s="6">
        <f>IF(COUNTIF(PC.IT105.Inp!$C52:$L52,"")=10,"",IF(PC.IT105.Inp!$L52="","NULL",PC.IT105.Inp!$L52))</f>
        <v>0</v>
      </c>
      <c r="P52" s="7" t="str">
        <f>IF(COUNTIF(PC.TU105.Inp!$C52:$L52,"")=10,"","("&amp;aconcat($C52:$O52,",")&amp;"),")</f>
        <v>(NULL,NULL,51,594,324,72,72,"M","m",NULL,NULL,1,0),</v>
      </c>
    </row>
    <row r="53" spans="1:16" x14ac:dyDescent="0.3">
      <c r="A53" s="1" t="s">
        <v>110</v>
      </c>
      <c r="B53" s="1">
        <f t="shared" si="0"/>
        <v>52</v>
      </c>
      <c r="C53" s="6" t="str">
        <f>IF(COUNTIF(PC.IT105.Inp!$C53:$L53,"")=10,"","NULL")</f>
        <v>NULL</v>
      </c>
      <c r="D53" s="6" t="str">
        <f>IF(COUNTIF(PC.IT105.Inp!$C53:$L53,"")=10,"","NULL")</f>
        <v>NULL</v>
      </c>
      <c r="E53" s="6">
        <f>IF(COUNTIF(PC.IT105.Inp!$C53:$L53,"")=10,"",$B53)</f>
        <v>52</v>
      </c>
      <c r="F53" s="6">
        <f>IF(COUNTIF(PC.IT105.Inp!$C53:$L53,"")=10,"",IF(PC.IT105.Inp!$C53="","NULL",PC.IT105.Inp!$C53))</f>
        <v>666</v>
      </c>
      <c r="G53" s="6">
        <f>IF(COUNTIF(PC.IT105.Inp!$C53:$L53,"")=10,"",IF(PC.IT105.Inp!$D53="","NULL",PC.IT105.Inp!$D53))</f>
        <v>324</v>
      </c>
      <c r="H53" s="6">
        <f>IF(COUNTIF(PC.IT105.Inp!$C53:$L53,"")=10,"",IF(PC.IT105.Inp!$E53="","NULL",PC.IT105.Inp!$E53))</f>
        <v>72</v>
      </c>
      <c r="I53" s="6">
        <f>IF(COUNTIF(PC.IT105.Inp!$C53:$L53,"")=10,"",IF(PC.IT105.Inp!$F53="","NULL",PC.IT105.Inp!$F53))</f>
        <v>72</v>
      </c>
      <c r="J53" s="6" t="str">
        <f>IF(COUNTIF(PC.IT105.Inp!$C53:$L53,"")=10,"",IF(PC.IT105.Inp!$G53="","NULL",""""&amp;PC.IT105.Inp!$G53&amp;""""))</f>
        <v>";"</v>
      </c>
      <c r="K53" s="6" t="str">
        <f>IF(COUNTIF(PC.IT105.Inp!$C53:$L53,"")=10,"",IF(PC.IT105.Inp!$H53="","NULL",""""&amp;PC.IT105.Inp!$H53&amp;""""))</f>
        <v>","</v>
      </c>
      <c r="L53" s="6" t="str">
        <f>IF(COUNTIF(PC.IT105.Inp!$C53:$L53,"")=10,"",IF(PC.IT105.Inp!$I53="","NULL",""""&amp;PC.IT105.Inp!$I53&amp;""""))</f>
        <v>NULL</v>
      </c>
      <c r="M53" s="6" t="str">
        <f>IF(COUNTIF(PC.IT105.Inp!$C53:$L53,"")=10,"",IF(PC.IT105.Inp!$J53="","NULL",""""&amp;PC.IT105.Inp!$J53&amp;""""))</f>
        <v>NULL</v>
      </c>
      <c r="N53" s="6">
        <f>IF(COUNTIF(PC.IT105.Inp!$C53:$L53,"")=10,"",IF(PC.IT105.Inp!$K53="","NULL",PC.IT105.Inp!$K53))</f>
        <v>0</v>
      </c>
      <c r="O53" s="6">
        <f>IF(COUNTIF(PC.IT105.Inp!$C53:$L53,"")=10,"",IF(PC.IT105.Inp!$L53="","NULL",PC.IT105.Inp!$L53))</f>
        <v>0</v>
      </c>
      <c r="P53" s="7" t="str">
        <f>IF(COUNTIF(PC.TU105.Inp!$C53:$L53,"")=10,"","("&amp;aconcat($C53:$O53,",")&amp;"),")</f>
        <v>(NULL,NULL,52,666,324,72,72,";",",",NULL,NULL,0,0),</v>
      </c>
    </row>
    <row r="54" spans="1:16" x14ac:dyDescent="0.3">
      <c r="A54" s="1" t="s">
        <v>112</v>
      </c>
      <c r="B54" s="1">
        <f t="shared" si="0"/>
        <v>53</v>
      </c>
      <c r="C54" s="6" t="str">
        <f>IF(COUNTIF(PC.IT105.Inp!$C54:$L54,"")=10,"","NULL")</f>
        <v>NULL</v>
      </c>
      <c r="D54" s="6" t="str">
        <f>IF(COUNTIF(PC.IT105.Inp!$C54:$L54,"")=10,"","NULL")</f>
        <v>NULL</v>
      </c>
      <c r="E54" s="6">
        <f>IF(COUNTIF(PC.IT105.Inp!$C54:$L54,"")=10,"",$B54)</f>
        <v>53</v>
      </c>
      <c r="F54" s="6">
        <f>IF(COUNTIF(PC.IT105.Inp!$C54:$L54,"")=10,"",IF(PC.IT105.Inp!$C54="","NULL",PC.IT105.Inp!$C54))</f>
        <v>738</v>
      </c>
      <c r="G54" s="6">
        <f>IF(COUNTIF(PC.IT105.Inp!$C54:$L54,"")=10,"",IF(PC.IT105.Inp!$D54="","NULL",PC.IT105.Inp!$D54))</f>
        <v>324</v>
      </c>
      <c r="H54" s="6">
        <f>IF(COUNTIF(PC.IT105.Inp!$C54:$L54,"")=10,"",IF(PC.IT105.Inp!$E54="","NULL",PC.IT105.Inp!$E54))</f>
        <v>72</v>
      </c>
      <c r="I54" s="6">
        <f>IF(COUNTIF(PC.IT105.Inp!$C54:$L54,"")=10,"",IF(PC.IT105.Inp!$F54="","NULL",PC.IT105.Inp!$F54))</f>
        <v>72</v>
      </c>
      <c r="J54" s="6" t="str">
        <f>IF(COUNTIF(PC.IT105.Inp!$C54:$L54,"")=10,"",IF(PC.IT105.Inp!$G54="","NULL",""""&amp;PC.IT105.Inp!$G54&amp;""""))</f>
        <v>":"</v>
      </c>
      <c r="K54" s="6" t="str">
        <f>IF(COUNTIF(PC.IT105.Inp!$C54:$L54,"")=10,"",IF(PC.IT105.Inp!$H54="","NULL",""""&amp;PC.IT105.Inp!$H54&amp;""""))</f>
        <v>"."</v>
      </c>
      <c r="L54" s="6" t="str">
        <f>IF(COUNTIF(PC.IT105.Inp!$C54:$L54,"")=10,"",IF(PC.IT105.Inp!$I54="","NULL",""""&amp;PC.IT105.Inp!$I54&amp;""""))</f>
        <v>NULL</v>
      </c>
      <c r="M54" s="6" t="str">
        <f>IF(COUNTIF(PC.IT105.Inp!$C54:$L54,"")=10,"",IF(PC.IT105.Inp!$J54="","NULL",""""&amp;PC.IT105.Inp!$J54&amp;""""))</f>
        <v>NULL</v>
      </c>
      <c r="N54" s="6">
        <f>IF(COUNTIF(PC.IT105.Inp!$C54:$L54,"")=10,"",IF(PC.IT105.Inp!$K54="","NULL",PC.IT105.Inp!$K54))</f>
        <v>0</v>
      </c>
      <c r="O54" s="6">
        <f>IF(COUNTIF(PC.IT105.Inp!$C54:$L54,"")=10,"",IF(PC.IT105.Inp!$L54="","NULL",PC.IT105.Inp!$L54))</f>
        <v>0</v>
      </c>
      <c r="P54" s="7" t="str">
        <f>IF(COUNTIF(PC.TU105.Inp!$C54:$L54,"")=10,"","("&amp;aconcat($C54:$O54,",")&amp;"),")</f>
        <v>(NULL,NULL,53,738,324,72,72,":",".",NULL,NULL,0,0),</v>
      </c>
    </row>
    <row r="55" spans="1:16" x14ac:dyDescent="0.3">
      <c r="A55" s="1" t="s">
        <v>114</v>
      </c>
      <c r="B55" s="1">
        <f t="shared" si="0"/>
        <v>54</v>
      </c>
      <c r="C55" s="6" t="str">
        <f>IF(COUNTIF(PC.IT105.Inp!$C55:$L55,"")=10,"","NULL")</f>
        <v>NULL</v>
      </c>
      <c r="D55" s="6" t="str">
        <f>IF(COUNTIF(PC.IT105.Inp!$C55:$L55,"")=10,"","NULL")</f>
        <v>NULL</v>
      </c>
      <c r="E55" s="6">
        <f>IF(COUNTIF(PC.IT105.Inp!$C55:$L55,"")=10,"",$B55)</f>
        <v>54</v>
      </c>
      <c r="F55" s="6">
        <f>IF(COUNTIF(PC.IT105.Inp!$C55:$L55,"")=10,"",IF(PC.IT105.Inp!$C55="","NULL",PC.IT105.Inp!$C55))</f>
        <v>810</v>
      </c>
      <c r="G55" s="6">
        <f>IF(COUNTIF(PC.IT105.Inp!$C55:$L55,"")=10,"",IF(PC.IT105.Inp!$D55="","NULL",PC.IT105.Inp!$D55))</f>
        <v>324</v>
      </c>
      <c r="H55" s="6">
        <f>IF(COUNTIF(PC.IT105.Inp!$C55:$L55,"")=10,"",IF(PC.IT105.Inp!$E55="","NULL",PC.IT105.Inp!$E55))</f>
        <v>72</v>
      </c>
      <c r="I55" s="6">
        <f>IF(COUNTIF(PC.IT105.Inp!$C55:$L55,"")=10,"",IF(PC.IT105.Inp!$F55="","NULL",PC.IT105.Inp!$F55))</f>
        <v>72</v>
      </c>
      <c r="J55" s="6" t="str">
        <f>IF(COUNTIF(PC.IT105.Inp!$C55:$L55,"")=10,"",IF(PC.IT105.Inp!$G55="","NULL",""""&amp;PC.IT105.Inp!$G55&amp;""""))</f>
        <v>"_"</v>
      </c>
      <c r="K55" s="6" t="str">
        <f>IF(COUNTIF(PC.IT105.Inp!$C55:$L55,"")=10,"",IF(PC.IT105.Inp!$H55="","NULL",""""&amp;PC.IT105.Inp!$H55&amp;""""))</f>
        <v>"-"</v>
      </c>
      <c r="L55" s="6" t="str">
        <f>IF(COUNTIF(PC.IT105.Inp!$C55:$L55,"")=10,"",IF(PC.IT105.Inp!$I55="","NULL",""""&amp;PC.IT105.Inp!$I55&amp;""""))</f>
        <v>NULL</v>
      </c>
      <c r="M55" s="6" t="str">
        <f>IF(COUNTIF(PC.IT105.Inp!$C55:$L55,"")=10,"",IF(PC.IT105.Inp!$J55="","NULL",""""&amp;PC.IT105.Inp!$J55&amp;""""))</f>
        <v>NULL</v>
      </c>
      <c r="N55" s="6">
        <f>IF(COUNTIF(PC.IT105.Inp!$C55:$L55,"")=10,"",IF(PC.IT105.Inp!$K55="","NULL",PC.IT105.Inp!$K55))</f>
        <v>0</v>
      </c>
      <c r="O55" s="6">
        <f>IF(COUNTIF(PC.IT105.Inp!$C55:$L55,"")=10,"",IF(PC.IT105.Inp!$L55="","NULL",PC.IT105.Inp!$L55))</f>
        <v>0</v>
      </c>
      <c r="P55" s="7" t="str">
        <f>IF(COUNTIF(PC.TU105.Inp!$C55:$L55,"")=10,"","("&amp;aconcat($C55:$O55,",")&amp;"),")</f>
        <v>(NULL,NULL,54,810,324,72,72,"_","-",NULL,NULL,0,0),</v>
      </c>
    </row>
    <row r="56" spans="1:16" x14ac:dyDescent="0.3">
      <c r="A56" s="1" t="s">
        <v>169</v>
      </c>
      <c r="B56" s="1">
        <f t="shared" si="0"/>
        <v>55</v>
      </c>
      <c r="C56" s="6" t="str">
        <f>IF(COUNTIF(PC.IT105.Inp!$C56:$L56,"")=10,"","NULL")</f>
        <v>NULL</v>
      </c>
      <c r="D56" s="6" t="str">
        <f>IF(COUNTIF(PC.IT105.Inp!$C56:$L56,"")=10,"","NULL")</f>
        <v>NULL</v>
      </c>
      <c r="E56" s="6">
        <f>IF(COUNTIF(PC.IT105.Inp!$C56:$L56,"")=10,"",$B56)</f>
        <v>55</v>
      </c>
      <c r="F56" s="6">
        <f>IF(COUNTIF(PC.IT105.Inp!$C56:$L56,"")=10,"",IF(PC.IT105.Inp!$C56="","NULL",PC.IT105.Inp!$C56))</f>
        <v>882</v>
      </c>
      <c r="G56" s="6">
        <f>IF(COUNTIF(PC.IT105.Inp!$C56:$L56,"")=10,"",IF(PC.IT105.Inp!$D56="","NULL",PC.IT105.Inp!$D56))</f>
        <v>324</v>
      </c>
      <c r="H56" s="6">
        <f>IF(COUNTIF(PC.IT105.Inp!$C56:$L56,"")=10,"",IF(PC.IT105.Inp!$E56="","NULL",PC.IT105.Inp!$E56))</f>
        <v>198</v>
      </c>
      <c r="I56" s="6">
        <f>IF(COUNTIF(PC.IT105.Inp!$C56:$L56,"")=10,"",IF(PC.IT105.Inp!$F56="","NULL",PC.IT105.Inp!$F56))</f>
        <v>72</v>
      </c>
      <c r="J56" s="6" t="str">
        <f>IF(COUNTIF(PC.IT105.Inp!$C56:$L56,"")=10,"",IF(PC.IT105.Inp!$G56="","NULL",""""&amp;PC.IT105.Inp!$G56&amp;""""))</f>
        <v>NULL</v>
      </c>
      <c r="K56" s="6" t="str">
        <f>IF(COUNTIF(PC.IT105.Inp!$C56:$L56,"")=10,"",IF(PC.IT105.Inp!$H56="","NULL",""""&amp;PC.IT105.Inp!$H56&amp;""""))</f>
        <v>"RShift"</v>
      </c>
      <c r="L56" s="6" t="str">
        <f>IF(COUNTIF(PC.IT105.Inp!$C56:$L56,"")=10,"",IF(PC.IT105.Inp!$I56="","NULL",""""&amp;PC.IT105.Inp!$I56&amp;""""))</f>
        <v>NULL</v>
      </c>
      <c r="M56" s="6" t="str">
        <f>IF(COUNTIF(PC.IT105.Inp!$C56:$L56,"")=10,"",IF(PC.IT105.Inp!$J56="","NULL",""""&amp;PC.IT105.Inp!$J56&amp;""""))</f>
        <v>NULL</v>
      </c>
      <c r="N56" s="6">
        <f>IF(COUNTIF(PC.IT105.Inp!$C56:$L56,"")=10,"",IF(PC.IT105.Inp!$K56="","NULL",PC.IT105.Inp!$K56))</f>
        <v>0</v>
      </c>
      <c r="O56" s="6">
        <f>IF(COUNTIF(PC.IT105.Inp!$C56:$L56,"")=10,"",IF(PC.IT105.Inp!$L56="","NULL",PC.IT105.Inp!$L56))</f>
        <v>0</v>
      </c>
      <c r="P56" s="7" t="str">
        <f>IF(COUNTIF(PC.TU105.Inp!$C56:$L56,"")=10,"","("&amp;aconcat($C56:$O56,",")&amp;"),")</f>
        <v>(NULL,NULL,55,882,324,198,72,NULL,"RShift",NULL,NULL,0,0),</v>
      </c>
    </row>
    <row r="57" spans="1:16" x14ac:dyDescent="0.3">
      <c r="A57" s="1" t="s">
        <v>170</v>
      </c>
      <c r="B57" s="1">
        <f t="shared" si="0"/>
        <v>56</v>
      </c>
      <c r="C57" s="6" t="str">
        <f>IF(COUNTIF(PC.IT105.Inp!$C57:$L57,"")=10,"","NULL")</f>
        <v>NULL</v>
      </c>
      <c r="D57" s="6" t="str">
        <f>IF(COUNTIF(PC.IT105.Inp!$C57:$L57,"")=10,"","NULL")</f>
        <v>NULL</v>
      </c>
      <c r="E57" s="6">
        <f>IF(COUNTIF(PC.IT105.Inp!$C57:$L57,"")=10,"",$B57)</f>
        <v>56</v>
      </c>
      <c r="F57" s="6">
        <f>IF(COUNTIF(PC.IT105.Inp!$C57:$L57,"")=10,"",IF(PC.IT105.Inp!$C57="","NULL",PC.IT105.Inp!$C57))</f>
        <v>0</v>
      </c>
      <c r="G57" s="6">
        <f>IF(COUNTIF(PC.IT105.Inp!$C57:$L57,"")=10,"",IF(PC.IT105.Inp!$D57="","NULL",PC.IT105.Inp!$D57))</f>
        <v>396</v>
      </c>
      <c r="H57" s="6">
        <f>IF(COUNTIF(PC.IT105.Inp!$C57:$L57,"")=10,"",IF(PC.IT105.Inp!$E57="","NULL",PC.IT105.Inp!$E57))</f>
        <v>90</v>
      </c>
      <c r="I57" s="6">
        <f>IF(COUNTIF(PC.IT105.Inp!$C57:$L57,"")=10,"",IF(PC.IT105.Inp!$F57="","NULL",PC.IT105.Inp!$F57))</f>
        <v>72</v>
      </c>
      <c r="J57" s="6" t="str">
        <f>IF(COUNTIF(PC.IT105.Inp!$C57:$L57,"")=10,"",IF(PC.IT105.Inp!$G57="","NULL",""""&amp;PC.IT105.Inp!$G57&amp;""""))</f>
        <v>NULL</v>
      </c>
      <c r="K57" s="6" t="str">
        <f>IF(COUNTIF(PC.IT105.Inp!$C57:$L57,"")=10,"",IF(PC.IT105.Inp!$H57="","NULL",""""&amp;PC.IT105.Inp!$H57&amp;""""))</f>
        <v>"LCtrl"</v>
      </c>
      <c r="L57" s="6" t="str">
        <f>IF(COUNTIF(PC.IT105.Inp!$C57:$L57,"")=10,"",IF(PC.IT105.Inp!$I57="","NULL",""""&amp;PC.IT105.Inp!$I57&amp;""""))</f>
        <v>NULL</v>
      </c>
      <c r="M57" s="6" t="str">
        <f>IF(COUNTIF(PC.IT105.Inp!$C57:$L57,"")=10,"",IF(PC.IT105.Inp!$J57="","NULL",""""&amp;PC.IT105.Inp!$J57&amp;""""))</f>
        <v>NULL</v>
      </c>
      <c r="N57" s="6">
        <f>IF(COUNTIF(PC.IT105.Inp!$C57:$L57,"")=10,"",IF(PC.IT105.Inp!$K57="","NULL",PC.IT105.Inp!$K57))</f>
        <v>0</v>
      </c>
      <c r="O57" s="6">
        <f>IF(COUNTIF(PC.IT105.Inp!$C57:$L57,"")=10,"",IF(PC.IT105.Inp!$L57="","NULL",PC.IT105.Inp!$L57))</f>
        <v>0</v>
      </c>
      <c r="P57" s="7" t="str">
        <f>IF(COUNTIF(PC.TU105.Inp!$C57:$L57,"")=10,"","("&amp;aconcat($C57:$O57,",")&amp;"),")</f>
        <v>(NULL,NULL,56,0,396,90,72,NULL,"LCtrl",NULL,NULL,0,0),</v>
      </c>
    </row>
    <row r="58" spans="1:16" x14ac:dyDescent="0.3">
      <c r="A58" s="1" t="s">
        <v>117</v>
      </c>
      <c r="B58" s="1">
        <f t="shared" si="0"/>
        <v>57</v>
      </c>
      <c r="C58" s="6" t="str">
        <f>IF(COUNTIF(PC.IT105.Inp!$C58:$L58,"")=10,"","NULL")</f>
        <v>NULL</v>
      </c>
      <c r="D58" s="6" t="str">
        <f>IF(COUNTIF(PC.IT105.Inp!$C58:$L58,"")=10,"","NULL")</f>
        <v>NULL</v>
      </c>
      <c r="E58" s="6">
        <f>IF(COUNTIF(PC.IT105.Inp!$C58:$L58,"")=10,"",$B58)</f>
        <v>57</v>
      </c>
      <c r="F58" s="6">
        <f>IF(COUNTIF(PC.IT105.Inp!$C58:$L58,"")=10,"",IF(PC.IT105.Inp!$C58="","NULL",PC.IT105.Inp!$C58))</f>
        <v>180</v>
      </c>
      <c r="G58" s="6">
        <f>IF(COUNTIF(PC.IT105.Inp!$C58:$L58,"")=10,"",IF(PC.IT105.Inp!$D58="","NULL",PC.IT105.Inp!$D58))</f>
        <v>396</v>
      </c>
      <c r="H58" s="6">
        <f>IF(COUNTIF(PC.IT105.Inp!$C58:$L58,"")=10,"",IF(PC.IT105.Inp!$E58="","NULL",PC.IT105.Inp!$E58))</f>
        <v>90</v>
      </c>
      <c r="I58" s="6">
        <f>IF(COUNTIF(PC.IT105.Inp!$C58:$L58,"")=10,"",IF(PC.IT105.Inp!$F58="","NULL",PC.IT105.Inp!$F58))</f>
        <v>72</v>
      </c>
      <c r="J58" s="6" t="str">
        <f>IF(COUNTIF(PC.IT105.Inp!$C58:$L58,"")=10,"",IF(PC.IT105.Inp!$G58="","NULL",""""&amp;PC.IT105.Inp!$G58&amp;""""))</f>
        <v>NULL</v>
      </c>
      <c r="K58" s="6" t="str">
        <f>IF(COUNTIF(PC.IT105.Inp!$C58:$L58,"")=10,"",IF(PC.IT105.Inp!$H58="","NULL",""""&amp;PC.IT105.Inp!$H58&amp;""""))</f>
        <v>"Alt"</v>
      </c>
      <c r="L58" s="6" t="str">
        <f>IF(COUNTIF(PC.IT105.Inp!$C58:$L58,"")=10,"",IF(PC.IT105.Inp!$I58="","NULL",""""&amp;PC.IT105.Inp!$I58&amp;""""))</f>
        <v>NULL</v>
      </c>
      <c r="M58" s="6" t="str">
        <f>IF(COUNTIF(PC.IT105.Inp!$C58:$L58,"")=10,"",IF(PC.IT105.Inp!$J58="","NULL",""""&amp;PC.IT105.Inp!$J58&amp;""""))</f>
        <v>NULL</v>
      </c>
      <c r="N58" s="6">
        <f>IF(COUNTIF(PC.IT105.Inp!$C58:$L58,"")=10,"",IF(PC.IT105.Inp!$K58="","NULL",PC.IT105.Inp!$K58))</f>
        <v>0</v>
      </c>
      <c r="O58" s="6">
        <f>IF(COUNTIF(PC.IT105.Inp!$C58:$L58,"")=10,"",IF(PC.IT105.Inp!$L58="","NULL",PC.IT105.Inp!$L58))</f>
        <v>0</v>
      </c>
      <c r="P58" s="7" t="str">
        <f>IF(COUNTIF(PC.TU105.Inp!$C58:$L58,"")=10,"","("&amp;aconcat($C58:$O58,",")&amp;"),")</f>
        <v>(NULL,NULL,57,180,396,90,72,NULL,"Alt",NULL,NULL,0,0),</v>
      </c>
    </row>
    <row r="59" spans="1:16" x14ac:dyDescent="0.3">
      <c r="A59" s="1" t="s">
        <v>186</v>
      </c>
      <c r="B59" s="1">
        <f t="shared" si="0"/>
        <v>58</v>
      </c>
      <c r="C59" s="6" t="str">
        <f>IF(COUNTIF(PC.IT105.Inp!$C59:$L59,"")=10,"","NULL")</f>
        <v>NULL</v>
      </c>
      <c r="D59" s="6" t="str">
        <f>IF(COUNTIF(PC.IT105.Inp!$C59:$L59,"")=10,"","NULL")</f>
        <v>NULL</v>
      </c>
      <c r="E59" s="6">
        <f>IF(COUNTIF(PC.IT105.Inp!$C59:$L59,"")=10,"",$B59)</f>
        <v>58</v>
      </c>
      <c r="F59" s="6">
        <f>IF(COUNTIF(PC.IT105.Inp!$C59:$L59,"")=10,"",IF(PC.IT105.Inp!$C59="","NULL",PC.IT105.Inp!$C59))</f>
        <v>270</v>
      </c>
      <c r="G59" s="6">
        <f>IF(COUNTIF(PC.IT105.Inp!$C59:$L59,"")=10,"",IF(PC.IT105.Inp!$D59="","NULL",PC.IT105.Inp!$D59))</f>
        <v>396</v>
      </c>
      <c r="H59" s="6">
        <f>IF(COUNTIF(PC.IT105.Inp!$C59:$L59,"")=10,"",IF(PC.IT105.Inp!$E59="","NULL",PC.IT105.Inp!$E59))</f>
        <v>450</v>
      </c>
      <c r="I59" s="6">
        <f>IF(COUNTIF(PC.IT105.Inp!$C59:$L59,"")=10,"",IF(PC.IT105.Inp!$F59="","NULL",PC.IT105.Inp!$F59))</f>
        <v>72</v>
      </c>
      <c r="J59" s="6" t="str">
        <f>IF(COUNTIF(PC.IT105.Inp!$C59:$L59,"")=10,"",IF(PC.IT105.Inp!$G59="","NULL",""""&amp;PC.IT105.Inp!$G59&amp;""""))</f>
        <v>NULL</v>
      </c>
      <c r="K59" s="6" t="str">
        <f>IF(COUNTIF(PC.IT105.Inp!$C59:$L59,"")=10,"",IF(PC.IT105.Inp!$H59="","NULL",""""&amp;PC.IT105.Inp!$H59&amp;""""))</f>
        <v>"Space"</v>
      </c>
      <c r="L59" s="6" t="str">
        <f>IF(COUNTIF(PC.IT105.Inp!$C59:$L59,"")=10,"",IF(PC.IT105.Inp!$I59="","NULL",""""&amp;PC.IT105.Inp!$I59&amp;""""))</f>
        <v>NULL</v>
      </c>
      <c r="M59" s="6" t="str">
        <f>IF(COUNTIF(PC.IT105.Inp!$C59:$L59,"")=10,"",IF(PC.IT105.Inp!$J59="","NULL",""""&amp;PC.IT105.Inp!$J59&amp;""""))</f>
        <v>NULL</v>
      </c>
      <c r="N59" s="6">
        <f>IF(COUNTIF(PC.IT105.Inp!$C59:$L59,"")=10,"",IF(PC.IT105.Inp!$K59="","NULL",PC.IT105.Inp!$K59))</f>
        <v>0</v>
      </c>
      <c r="O59" s="6">
        <f>IF(COUNTIF(PC.IT105.Inp!$C59:$L59,"")=10,"",IF(PC.IT105.Inp!$L59="","NULL",PC.IT105.Inp!$L59))</f>
        <v>0</v>
      </c>
      <c r="P59" s="7" t="str">
        <f>IF(COUNTIF(PC.TU105.Inp!$C59:$L59,"")=10,"","("&amp;aconcat($C59:$O59,",")&amp;"),")</f>
        <v>(NULL,NULL,58,270,396,450,72,NULL,"Space",NULL,NULL,0,0),</v>
      </c>
    </row>
    <row r="60" spans="1:16" x14ac:dyDescent="0.3">
      <c r="A60" s="1" t="s">
        <v>119</v>
      </c>
      <c r="B60" s="1">
        <f t="shared" si="0"/>
        <v>59</v>
      </c>
      <c r="C60" s="6" t="str">
        <f>IF(COUNTIF(PC.IT105.Inp!$C60:$L60,"")=10,"","NULL")</f>
        <v>NULL</v>
      </c>
      <c r="D60" s="6" t="str">
        <f>IF(COUNTIF(PC.IT105.Inp!$C60:$L60,"")=10,"","NULL")</f>
        <v>NULL</v>
      </c>
      <c r="E60" s="6">
        <f>IF(COUNTIF(PC.IT105.Inp!$C60:$L60,"")=10,"",$B60)</f>
        <v>59</v>
      </c>
      <c r="F60" s="6">
        <f>IF(COUNTIF(PC.IT105.Inp!$C60:$L60,"")=10,"",IF(PC.IT105.Inp!$C60="","NULL",PC.IT105.Inp!$C60))</f>
        <v>720</v>
      </c>
      <c r="G60" s="6">
        <f>IF(COUNTIF(PC.IT105.Inp!$C60:$L60,"")=10,"",IF(PC.IT105.Inp!$D60="","NULL",PC.IT105.Inp!$D60))</f>
        <v>396</v>
      </c>
      <c r="H60" s="6">
        <f>IF(COUNTIF(PC.IT105.Inp!$C60:$L60,"")=10,"",IF(PC.IT105.Inp!$E60="","NULL",PC.IT105.Inp!$E60))</f>
        <v>90</v>
      </c>
      <c r="I60" s="6">
        <f>IF(COUNTIF(PC.IT105.Inp!$C60:$L60,"")=10,"",IF(PC.IT105.Inp!$F60="","NULL",PC.IT105.Inp!$F60))</f>
        <v>72</v>
      </c>
      <c r="J60" s="6" t="str">
        <f>IF(COUNTIF(PC.IT105.Inp!$C60:$L60,"")=10,"",IF(PC.IT105.Inp!$G60="","NULL",""""&amp;PC.IT105.Inp!$G60&amp;""""))</f>
        <v>NULL</v>
      </c>
      <c r="K60" s="6" t="str">
        <f>IF(COUNTIF(PC.IT105.Inp!$C60:$L60,"")=10,"",IF(PC.IT105.Inp!$H60="","NULL",""""&amp;PC.IT105.Inp!$H60&amp;""""))</f>
        <v>"AltGr"</v>
      </c>
      <c r="L60" s="6" t="str">
        <f>IF(COUNTIF(PC.IT105.Inp!$C60:$L60,"")=10,"",IF(PC.IT105.Inp!$I60="","NULL",""""&amp;PC.IT105.Inp!$I60&amp;""""))</f>
        <v>NULL</v>
      </c>
      <c r="M60" s="6" t="str">
        <f>IF(COUNTIF(PC.IT105.Inp!$C60:$L60,"")=10,"",IF(PC.IT105.Inp!$J60="","NULL",""""&amp;PC.IT105.Inp!$J60&amp;""""))</f>
        <v>NULL</v>
      </c>
      <c r="N60" s="6">
        <f>IF(COUNTIF(PC.IT105.Inp!$C60:$L60,"")=10,"",IF(PC.IT105.Inp!$K60="","NULL",PC.IT105.Inp!$K60))</f>
        <v>0</v>
      </c>
      <c r="O60" s="6">
        <f>IF(COUNTIF(PC.IT105.Inp!$C60:$L60,"")=10,"",IF(PC.IT105.Inp!$L60="","NULL",PC.IT105.Inp!$L60))</f>
        <v>0</v>
      </c>
      <c r="P60" s="7" t="str">
        <f>IF(COUNTIF(PC.TU105.Inp!$C60:$L60,"")=10,"","("&amp;aconcat($C60:$O60,",")&amp;"),")</f>
        <v>(NULL,NULL,59,720,396,90,72,NULL,"AltGr",NULL,NULL,0,0),</v>
      </c>
    </row>
    <row r="61" spans="1:16" x14ac:dyDescent="0.3">
      <c r="A61" s="1" t="s">
        <v>171</v>
      </c>
      <c r="B61" s="1">
        <f t="shared" si="0"/>
        <v>60</v>
      </c>
      <c r="C61" s="6" t="str">
        <f>IF(COUNTIF(PC.IT105.Inp!$C61:$L61,"")=10,"","NULL")</f>
        <v>NULL</v>
      </c>
      <c r="D61" s="6" t="str">
        <f>IF(COUNTIF(PC.IT105.Inp!$C61:$L61,"")=10,"","NULL")</f>
        <v>NULL</v>
      </c>
      <c r="E61" s="6">
        <f>IF(COUNTIF(PC.IT105.Inp!$C61:$L61,"")=10,"",$B61)</f>
        <v>60</v>
      </c>
      <c r="F61" s="6">
        <f>IF(COUNTIF(PC.IT105.Inp!$C61:$L61,"")=10,"",IF(PC.IT105.Inp!$C61="","NULL",PC.IT105.Inp!$C61))</f>
        <v>990</v>
      </c>
      <c r="G61" s="6">
        <f>IF(COUNTIF(PC.IT105.Inp!$C61:$L61,"")=10,"",IF(PC.IT105.Inp!$D61="","NULL",PC.IT105.Inp!$D61))</f>
        <v>396</v>
      </c>
      <c r="H61" s="6">
        <f>IF(COUNTIF(PC.IT105.Inp!$C61:$L61,"")=10,"",IF(PC.IT105.Inp!$E61="","NULL",PC.IT105.Inp!$E61))</f>
        <v>90</v>
      </c>
      <c r="I61" s="6">
        <f>IF(COUNTIF(PC.IT105.Inp!$C61:$L61,"")=10,"",IF(PC.IT105.Inp!$F61="","NULL",PC.IT105.Inp!$F61))</f>
        <v>72</v>
      </c>
      <c r="J61" s="6" t="str">
        <f>IF(COUNTIF(PC.IT105.Inp!$C61:$L61,"")=10,"",IF(PC.IT105.Inp!$G61="","NULL",""""&amp;PC.IT105.Inp!$G61&amp;""""))</f>
        <v>NULL</v>
      </c>
      <c r="K61" s="6" t="str">
        <f>IF(COUNTIF(PC.IT105.Inp!$C61:$L61,"")=10,"",IF(PC.IT105.Inp!$H61="","NULL",""""&amp;PC.IT105.Inp!$H61&amp;""""))</f>
        <v>"RCtrl"</v>
      </c>
      <c r="L61" s="6" t="str">
        <f>IF(COUNTIF(PC.IT105.Inp!$C61:$L61,"")=10,"",IF(PC.IT105.Inp!$I61="","NULL",""""&amp;PC.IT105.Inp!$I61&amp;""""))</f>
        <v>NULL</v>
      </c>
      <c r="M61" s="6" t="str">
        <f>IF(COUNTIF(PC.IT105.Inp!$C61:$L61,"")=10,"",IF(PC.IT105.Inp!$J61="","NULL",""""&amp;PC.IT105.Inp!$J61&amp;""""))</f>
        <v>NULL</v>
      </c>
      <c r="N61" s="6">
        <f>IF(COUNTIF(PC.IT105.Inp!$C61:$L61,"")=10,"",IF(PC.IT105.Inp!$K61="","NULL",PC.IT105.Inp!$K61))</f>
        <v>0</v>
      </c>
      <c r="O61" s="6">
        <f>IF(COUNTIF(PC.IT105.Inp!$C61:$L61,"")=10,"",IF(PC.IT105.Inp!$L61="","NULL",PC.IT105.Inp!$L61))</f>
        <v>0</v>
      </c>
      <c r="P61" s="7" t="str">
        <f>IF(COUNTIF(PC.TU105.Inp!$C61:$L61,"")=10,"","("&amp;aconcat($C61:$O61,",")&amp;"),")</f>
        <v>(NULL,NULL,60,990,396,90,72,NULL,"RCtrl",NULL,NULL,0,0),</v>
      </c>
    </row>
    <row r="62" spans="1:16" x14ac:dyDescent="0.3">
      <c r="A62" s="1" t="s">
        <v>172</v>
      </c>
      <c r="B62" s="1">
        <f t="shared" si="0"/>
        <v>61</v>
      </c>
      <c r="C62" s="6" t="str">
        <f>IF(COUNTIF(PC.IT105.Inp!$C62:$L62,"")=10,"","NULL")</f>
        <v>NULL</v>
      </c>
      <c r="D62" s="6" t="str">
        <f>IF(COUNTIF(PC.IT105.Inp!$C62:$L62,"")=10,"","NULL")</f>
        <v>NULL</v>
      </c>
      <c r="E62" s="6">
        <f>IF(COUNTIF(PC.IT105.Inp!$C62:$L62,"")=10,"",$B62)</f>
        <v>61</v>
      </c>
      <c r="F62" s="6">
        <f>IF(COUNTIF(PC.IT105.Inp!$C62:$L62,"")=10,"",IF(PC.IT105.Inp!$C62="","NULL",PC.IT105.Inp!$C62))</f>
        <v>1116</v>
      </c>
      <c r="G62" s="6">
        <f>IF(COUNTIF(PC.IT105.Inp!$C62:$L62,"")=10,"",IF(PC.IT105.Inp!$D62="","NULL",PC.IT105.Inp!$D62))</f>
        <v>108</v>
      </c>
      <c r="H62" s="6">
        <f>IF(COUNTIF(PC.IT105.Inp!$C62:$L62,"")=10,"",IF(PC.IT105.Inp!$E62="","NULL",PC.IT105.Inp!$E62))</f>
        <v>72</v>
      </c>
      <c r="I62" s="6">
        <f>IF(COUNTIF(PC.IT105.Inp!$C62:$L62,"")=10,"",IF(PC.IT105.Inp!$F62="","NULL",PC.IT105.Inp!$F62))</f>
        <v>72</v>
      </c>
      <c r="J62" s="6" t="str">
        <f>IF(COUNTIF(PC.IT105.Inp!$C62:$L62,"")=10,"",IF(PC.IT105.Inp!$G62="","NULL",""""&amp;PC.IT105.Inp!$G62&amp;""""))</f>
        <v>NULL</v>
      </c>
      <c r="K62" s="6" t="str">
        <f>IF(COUNTIF(PC.IT105.Inp!$C62:$L62,"")=10,"",IF(PC.IT105.Inp!$H62="","NULL",""""&amp;PC.IT105.Inp!$H62&amp;""""))</f>
        <v>"Insert"</v>
      </c>
      <c r="L62" s="6" t="str">
        <f>IF(COUNTIF(PC.IT105.Inp!$C62:$L62,"")=10,"",IF(PC.IT105.Inp!$I62="","NULL",""""&amp;PC.IT105.Inp!$I62&amp;""""))</f>
        <v>NULL</v>
      </c>
      <c r="M62" s="6" t="str">
        <f>IF(COUNTIF(PC.IT105.Inp!$C62:$L62,"")=10,"",IF(PC.IT105.Inp!$J62="","NULL",""""&amp;PC.IT105.Inp!$J62&amp;""""))</f>
        <v>NULL</v>
      </c>
      <c r="N62" s="6">
        <f>IF(COUNTIF(PC.IT105.Inp!$C62:$L62,"")=10,"",IF(PC.IT105.Inp!$K62="","NULL",PC.IT105.Inp!$K62))</f>
        <v>0</v>
      </c>
      <c r="O62" s="6">
        <f>IF(COUNTIF(PC.IT105.Inp!$C62:$L62,"")=10,"",IF(PC.IT105.Inp!$L62="","NULL",PC.IT105.Inp!$L62))</f>
        <v>0</v>
      </c>
      <c r="P62" s="7" t="str">
        <f>IF(COUNTIF(PC.TU105.Inp!$C62:$L62,"")=10,"","("&amp;aconcat($C62:$O62,",")&amp;"),")</f>
        <v>(NULL,NULL,61,1116,108,72,72,NULL,"Insert",NULL,NULL,0,0),</v>
      </c>
    </row>
    <row r="63" spans="1:16" x14ac:dyDescent="0.3">
      <c r="A63" s="1" t="s">
        <v>173</v>
      </c>
      <c r="B63" s="1">
        <f t="shared" si="0"/>
        <v>62</v>
      </c>
      <c r="C63" s="6" t="str">
        <f>IF(COUNTIF(PC.IT105.Inp!$C63:$L63,"")=10,"","NULL")</f>
        <v>NULL</v>
      </c>
      <c r="D63" s="6" t="str">
        <f>IF(COUNTIF(PC.IT105.Inp!$C63:$L63,"")=10,"","NULL")</f>
        <v>NULL</v>
      </c>
      <c r="E63" s="6">
        <f>IF(COUNTIF(PC.IT105.Inp!$C63:$L63,"")=10,"",$B63)</f>
        <v>62</v>
      </c>
      <c r="F63" s="6">
        <f>IF(COUNTIF(PC.IT105.Inp!$C63:$L63,"")=10,"",IF(PC.IT105.Inp!$C63="","NULL",PC.IT105.Inp!$C63))</f>
        <v>1116</v>
      </c>
      <c r="G63" s="6">
        <f>IF(COUNTIF(PC.IT105.Inp!$C63:$L63,"")=10,"",IF(PC.IT105.Inp!$D63="","NULL",PC.IT105.Inp!$D63))</f>
        <v>180</v>
      </c>
      <c r="H63" s="6">
        <f>IF(COUNTIF(PC.IT105.Inp!$C63:$L63,"")=10,"",IF(PC.IT105.Inp!$E63="","NULL",PC.IT105.Inp!$E63))</f>
        <v>72</v>
      </c>
      <c r="I63" s="6">
        <f>IF(COUNTIF(PC.IT105.Inp!$C63:$L63,"")=10,"",IF(PC.IT105.Inp!$F63="","NULL",PC.IT105.Inp!$F63))</f>
        <v>72</v>
      </c>
      <c r="J63" s="6" t="str">
        <f>IF(COUNTIF(PC.IT105.Inp!$C63:$L63,"")=10,"",IF(PC.IT105.Inp!$G63="","NULL",""""&amp;PC.IT105.Inp!$G63&amp;""""))</f>
        <v>NULL</v>
      </c>
      <c r="K63" s="6" t="str">
        <f>IF(COUNTIF(PC.IT105.Inp!$C63:$L63,"")=10,"",IF(PC.IT105.Inp!$H63="","NULL",""""&amp;PC.IT105.Inp!$H63&amp;""""))</f>
        <v>"Delete"</v>
      </c>
      <c r="L63" s="6" t="str">
        <f>IF(COUNTIF(PC.IT105.Inp!$C63:$L63,"")=10,"",IF(PC.IT105.Inp!$I63="","NULL",""""&amp;PC.IT105.Inp!$I63&amp;""""))</f>
        <v>NULL</v>
      </c>
      <c r="M63" s="6" t="str">
        <f>IF(COUNTIF(PC.IT105.Inp!$C63:$L63,"")=10,"",IF(PC.IT105.Inp!$J63="","NULL",""""&amp;PC.IT105.Inp!$J63&amp;""""))</f>
        <v>NULL</v>
      </c>
      <c r="N63" s="6">
        <f>IF(COUNTIF(PC.IT105.Inp!$C63:$L63,"")=10,"",IF(PC.IT105.Inp!$K63="","NULL",PC.IT105.Inp!$K63))</f>
        <v>0</v>
      </c>
      <c r="O63" s="6">
        <f>IF(COUNTIF(PC.IT105.Inp!$C63:$L63,"")=10,"",IF(PC.IT105.Inp!$L63="","NULL",PC.IT105.Inp!$L63))</f>
        <v>0</v>
      </c>
      <c r="P63" s="7" t="str">
        <f>IF(COUNTIF(PC.TU105.Inp!$C63:$L63,"")=10,"","("&amp;aconcat($C63:$O63,",")&amp;"),")</f>
        <v>(NULL,NULL,62,1116,180,72,72,NULL,"Delete",NULL,NULL,0,0),</v>
      </c>
    </row>
    <row r="64" spans="1:16" x14ac:dyDescent="0.3">
      <c r="A64" s="1" t="s">
        <v>174</v>
      </c>
      <c r="B64" s="1">
        <f t="shared" si="0"/>
        <v>63</v>
      </c>
      <c r="C64" s="6" t="str">
        <f>IF(COUNTIF(PC.IT105.Inp!$C64:$L64,"")=10,"","NULL")</f>
        <v>NULL</v>
      </c>
      <c r="D64" s="6" t="str">
        <f>IF(COUNTIF(PC.IT105.Inp!$C64:$L64,"")=10,"","NULL")</f>
        <v>NULL</v>
      </c>
      <c r="E64" s="6">
        <f>IF(COUNTIF(PC.IT105.Inp!$C64:$L64,"")=10,"",$B64)</f>
        <v>63</v>
      </c>
      <c r="F64" s="6">
        <f>IF(COUNTIF(PC.IT105.Inp!$C64:$L64,"")=10,"",IF(PC.IT105.Inp!$C64="","NULL",PC.IT105.Inp!$C64))</f>
        <v>1116</v>
      </c>
      <c r="G64" s="6">
        <f>IF(COUNTIF(PC.IT105.Inp!$C64:$L64,"")=10,"",IF(PC.IT105.Inp!$D64="","NULL",PC.IT105.Inp!$D64))</f>
        <v>396</v>
      </c>
      <c r="H64" s="6">
        <f>IF(COUNTIF(PC.IT105.Inp!$C64:$L64,"")=10,"",IF(PC.IT105.Inp!$E64="","NULL",PC.IT105.Inp!$E64))</f>
        <v>72</v>
      </c>
      <c r="I64" s="6">
        <f>IF(COUNTIF(PC.IT105.Inp!$C64:$L64,"")=10,"",IF(PC.IT105.Inp!$F64="","NULL",PC.IT105.Inp!$F64))</f>
        <v>72</v>
      </c>
      <c r="J64" s="6" t="str">
        <f>IF(COUNTIF(PC.IT105.Inp!$C64:$L64,"")=10,"",IF(PC.IT105.Inp!$G64="","NULL",""""&amp;PC.IT105.Inp!$G64&amp;""""))</f>
        <v>NULL</v>
      </c>
      <c r="K64" s="6" t="str">
        <f>IF(COUNTIF(PC.IT105.Inp!$C64:$L64,"")=10,"",IF(PC.IT105.Inp!$H64="","NULL",""""&amp;PC.IT105.Inp!$H64&amp;""""))</f>
        <v>"Left"</v>
      </c>
      <c r="L64" s="6" t="str">
        <f>IF(COUNTIF(PC.IT105.Inp!$C64:$L64,"")=10,"",IF(PC.IT105.Inp!$I64="","NULL",""""&amp;PC.IT105.Inp!$I64&amp;""""))</f>
        <v>NULL</v>
      </c>
      <c r="M64" s="6" t="str">
        <f>IF(COUNTIF(PC.IT105.Inp!$C64:$L64,"")=10,"",IF(PC.IT105.Inp!$J64="","NULL",""""&amp;PC.IT105.Inp!$J64&amp;""""))</f>
        <v>NULL</v>
      </c>
      <c r="N64" s="6">
        <f>IF(COUNTIF(PC.IT105.Inp!$C64:$L64,"")=10,"",IF(PC.IT105.Inp!$K64="","NULL",PC.IT105.Inp!$K64))</f>
        <v>0</v>
      </c>
      <c r="O64" s="6">
        <f>IF(COUNTIF(PC.IT105.Inp!$C64:$L64,"")=10,"",IF(PC.IT105.Inp!$L64="","NULL",PC.IT105.Inp!$L64))</f>
        <v>0</v>
      </c>
      <c r="P64" s="7" t="str">
        <f>IF(COUNTIF(PC.TU105.Inp!$C64:$L64,"")=10,"","("&amp;aconcat($C64:$O64,",")&amp;"),")</f>
        <v>(NULL,NULL,63,1116,396,72,72,NULL,"Left",NULL,NULL,0,0),</v>
      </c>
    </row>
    <row r="65" spans="1:16" x14ac:dyDescent="0.3">
      <c r="A65" s="1" t="s">
        <v>175</v>
      </c>
      <c r="B65" s="1">
        <f t="shared" si="0"/>
        <v>64</v>
      </c>
      <c r="C65" s="6" t="str">
        <f>IF(COUNTIF(PC.IT105.Inp!$C65:$L65,"")=10,"","NULL")</f>
        <v>NULL</v>
      </c>
      <c r="D65" s="6" t="str">
        <f>IF(COUNTIF(PC.IT105.Inp!$C65:$L65,"")=10,"","NULL")</f>
        <v>NULL</v>
      </c>
      <c r="E65" s="6">
        <f>IF(COUNTIF(PC.IT105.Inp!$C65:$L65,"")=10,"",$B65)</f>
        <v>64</v>
      </c>
      <c r="F65" s="6">
        <f>IF(COUNTIF(PC.IT105.Inp!$C65:$L65,"")=10,"",IF(PC.IT105.Inp!$C65="","NULL",PC.IT105.Inp!$C65))</f>
        <v>1188</v>
      </c>
      <c r="G65" s="6">
        <f>IF(COUNTIF(PC.IT105.Inp!$C65:$L65,"")=10,"",IF(PC.IT105.Inp!$D65="","NULL",PC.IT105.Inp!$D65))</f>
        <v>108</v>
      </c>
      <c r="H65" s="6">
        <f>IF(COUNTIF(PC.IT105.Inp!$C65:$L65,"")=10,"",IF(PC.IT105.Inp!$E65="","NULL",PC.IT105.Inp!$E65))</f>
        <v>72</v>
      </c>
      <c r="I65" s="6">
        <f>IF(COUNTIF(PC.IT105.Inp!$C65:$L65,"")=10,"",IF(PC.IT105.Inp!$F65="","NULL",PC.IT105.Inp!$F65))</f>
        <v>72</v>
      </c>
      <c r="J65" s="6" t="str">
        <f>IF(COUNTIF(PC.IT105.Inp!$C65:$L65,"")=10,"",IF(PC.IT105.Inp!$G65="","NULL",""""&amp;PC.IT105.Inp!$G65&amp;""""))</f>
        <v>NULL</v>
      </c>
      <c r="K65" s="6" t="str">
        <f>IF(COUNTIF(PC.IT105.Inp!$C65:$L65,"")=10,"",IF(PC.IT105.Inp!$H65="","NULL",""""&amp;PC.IT105.Inp!$H65&amp;""""))</f>
        <v>"Home"</v>
      </c>
      <c r="L65" s="6" t="str">
        <f>IF(COUNTIF(PC.IT105.Inp!$C65:$L65,"")=10,"",IF(PC.IT105.Inp!$I65="","NULL",""""&amp;PC.IT105.Inp!$I65&amp;""""))</f>
        <v>NULL</v>
      </c>
      <c r="M65" s="6" t="str">
        <f>IF(COUNTIF(PC.IT105.Inp!$C65:$L65,"")=10,"",IF(PC.IT105.Inp!$J65="","NULL",""""&amp;PC.IT105.Inp!$J65&amp;""""))</f>
        <v>NULL</v>
      </c>
      <c r="N65" s="6">
        <f>IF(COUNTIF(PC.IT105.Inp!$C65:$L65,"")=10,"",IF(PC.IT105.Inp!$K65="","NULL",PC.IT105.Inp!$K65))</f>
        <v>0</v>
      </c>
      <c r="O65" s="6">
        <f>IF(COUNTIF(PC.IT105.Inp!$C65:$L65,"")=10,"",IF(PC.IT105.Inp!$L65="","NULL",PC.IT105.Inp!$L65))</f>
        <v>0</v>
      </c>
      <c r="P65" s="7" t="str">
        <f>IF(COUNTIF(PC.TU105.Inp!$C65:$L65,"")=10,"","("&amp;aconcat($C65:$O65,",")&amp;"),")</f>
        <v>(NULL,NULL,64,1188,108,72,72,NULL,"Home",NULL,NULL,0,0),</v>
      </c>
    </row>
    <row r="66" spans="1:16" x14ac:dyDescent="0.3">
      <c r="A66" s="1" t="s">
        <v>181</v>
      </c>
      <c r="B66" s="1">
        <f t="shared" ref="B66:B119" si="1">ROW(B66)-1</f>
        <v>65</v>
      </c>
      <c r="C66" s="6" t="str">
        <f>IF(COUNTIF(PC.IT105.Inp!$C66:$L66,"")=10,"","NULL")</f>
        <v>NULL</v>
      </c>
      <c r="D66" s="6" t="str">
        <f>IF(COUNTIF(PC.IT105.Inp!$C66:$L66,"")=10,"","NULL")</f>
        <v>NULL</v>
      </c>
      <c r="E66" s="6">
        <f>IF(COUNTIF(PC.IT105.Inp!$C66:$L66,"")=10,"",$B66)</f>
        <v>65</v>
      </c>
      <c r="F66" s="6">
        <f>IF(COUNTIF(PC.IT105.Inp!$C66:$L66,"")=10,"",IF(PC.IT105.Inp!$C66="","NULL",PC.IT105.Inp!$C66))</f>
        <v>1188</v>
      </c>
      <c r="G66" s="6">
        <f>IF(COUNTIF(PC.IT105.Inp!$C66:$L66,"")=10,"",IF(PC.IT105.Inp!$D66="","NULL",PC.IT105.Inp!$D66))</f>
        <v>180</v>
      </c>
      <c r="H66" s="6">
        <f>IF(COUNTIF(PC.IT105.Inp!$C66:$L66,"")=10,"",IF(PC.IT105.Inp!$E66="","NULL",PC.IT105.Inp!$E66))</f>
        <v>72</v>
      </c>
      <c r="I66" s="6">
        <f>IF(COUNTIF(PC.IT105.Inp!$C66:$L66,"")=10,"",IF(PC.IT105.Inp!$F66="","NULL",PC.IT105.Inp!$F66))</f>
        <v>72</v>
      </c>
      <c r="J66" s="6" t="str">
        <f>IF(COUNTIF(PC.IT105.Inp!$C66:$L66,"")=10,"",IF(PC.IT105.Inp!$G66="","NULL",""""&amp;PC.IT105.Inp!$G66&amp;""""))</f>
        <v>NULL</v>
      </c>
      <c r="K66" s="6" t="str">
        <f>IF(COUNTIF(PC.IT105.Inp!$C66:$L66,"")=10,"",IF(PC.IT105.Inp!$H66="","NULL",""""&amp;PC.IT105.Inp!$H66&amp;""""))</f>
        <v>"End"</v>
      </c>
      <c r="L66" s="6" t="str">
        <f>IF(COUNTIF(PC.IT105.Inp!$C66:$L66,"")=10,"",IF(PC.IT105.Inp!$I66="","NULL",""""&amp;PC.IT105.Inp!$I66&amp;""""))</f>
        <v>NULL</v>
      </c>
      <c r="M66" s="6" t="str">
        <f>IF(COUNTIF(PC.IT105.Inp!$C66:$L66,"")=10,"",IF(PC.IT105.Inp!$J66="","NULL",""""&amp;PC.IT105.Inp!$J66&amp;""""))</f>
        <v>NULL</v>
      </c>
      <c r="N66" s="6">
        <f>IF(COUNTIF(PC.IT105.Inp!$C66:$L66,"")=10,"",IF(PC.IT105.Inp!$K66="","NULL",PC.IT105.Inp!$K66))</f>
        <v>0</v>
      </c>
      <c r="O66" s="6">
        <f>IF(COUNTIF(PC.IT105.Inp!$C66:$L66,"")=10,"",IF(PC.IT105.Inp!$L66="","NULL",PC.IT105.Inp!$L66))</f>
        <v>0</v>
      </c>
      <c r="P66" s="7" t="str">
        <f>IF(COUNTIF(PC.TU105.Inp!$C66:$L66,"")=10,"","("&amp;aconcat($C66:$O66,",")&amp;"),")</f>
        <v>(NULL,NULL,65,1188,180,72,72,NULL,"End",NULL,NULL,0,0),</v>
      </c>
    </row>
    <row r="67" spans="1:16" x14ac:dyDescent="0.3">
      <c r="A67" s="1" t="s">
        <v>176</v>
      </c>
      <c r="B67" s="1">
        <f t="shared" si="1"/>
        <v>66</v>
      </c>
      <c r="C67" s="6" t="str">
        <f>IF(COUNTIF(PC.IT105.Inp!$C67:$L67,"")=10,"","NULL")</f>
        <v>NULL</v>
      </c>
      <c r="D67" s="6" t="str">
        <f>IF(COUNTIF(PC.IT105.Inp!$C67:$L67,"")=10,"","NULL")</f>
        <v>NULL</v>
      </c>
      <c r="E67" s="6">
        <f>IF(COUNTIF(PC.IT105.Inp!$C67:$L67,"")=10,"",$B67)</f>
        <v>66</v>
      </c>
      <c r="F67" s="6">
        <f>IF(COUNTIF(PC.IT105.Inp!$C67:$L67,"")=10,"",IF(PC.IT105.Inp!$C67="","NULL",PC.IT105.Inp!$C67))</f>
        <v>1188</v>
      </c>
      <c r="G67" s="6">
        <f>IF(COUNTIF(PC.IT105.Inp!$C67:$L67,"")=10,"",IF(PC.IT105.Inp!$D67="","NULL",PC.IT105.Inp!$D67))</f>
        <v>324</v>
      </c>
      <c r="H67" s="6">
        <f>IF(COUNTIF(PC.IT105.Inp!$C67:$L67,"")=10,"",IF(PC.IT105.Inp!$E67="","NULL",PC.IT105.Inp!$E67))</f>
        <v>72</v>
      </c>
      <c r="I67" s="6">
        <f>IF(COUNTIF(PC.IT105.Inp!$C67:$L67,"")=10,"",IF(PC.IT105.Inp!$F67="","NULL",PC.IT105.Inp!$F67))</f>
        <v>72</v>
      </c>
      <c r="J67" s="6" t="str">
        <f>IF(COUNTIF(PC.IT105.Inp!$C67:$L67,"")=10,"",IF(PC.IT105.Inp!$G67="","NULL",""""&amp;PC.IT105.Inp!$G67&amp;""""))</f>
        <v>NULL</v>
      </c>
      <c r="K67" s="6" t="str">
        <f>IF(COUNTIF(PC.IT105.Inp!$C67:$L67,"")=10,"",IF(PC.IT105.Inp!$H67="","NULL",""""&amp;PC.IT105.Inp!$H67&amp;""""))</f>
        <v>"Up"</v>
      </c>
      <c r="L67" s="6" t="str">
        <f>IF(COUNTIF(PC.IT105.Inp!$C67:$L67,"")=10,"",IF(PC.IT105.Inp!$I67="","NULL",""""&amp;PC.IT105.Inp!$I67&amp;""""))</f>
        <v>NULL</v>
      </c>
      <c r="M67" s="6" t="str">
        <f>IF(COUNTIF(PC.IT105.Inp!$C67:$L67,"")=10,"",IF(PC.IT105.Inp!$J67="","NULL",""""&amp;PC.IT105.Inp!$J67&amp;""""))</f>
        <v>NULL</v>
      </c>
      <c r="N67" s="6">
        <f>IF(COUNTIF(PC.IT105.Inp!$C67:$L67,"")=10,"",IF(PC.IT105.Inp!$K67="","NULL",PC.IT105.Inp!$K67))</f>
        <v>0</v>
      </c>
      <c r="O67" s="6">
        <f>IF(COUNTIF(PC.IT105.Inp!$C67:$L67,"")=10,"",IF(PC.IT105.Inp!$L67="","NULL",PC.IT105.Inp!$L67))</f>
        <v>0</v>
      </c>
      <c r="P67" s="7" t="str">
        <f>IF(COUNTIF(PC.TU105.Inp!$C67:$L67,"")=10,"","("&amp;aconcat($C67:$O67,",")&amp;"),")</f>
        <v>(NULL,NULL,66,1188,324,72,72,NULL,"Up",NULL,NULL,0,0),</v>
      </c>
    </row>
    <row r="68" spans="1:16" x14ac:dyDescent="0.3">
      <c r="A68" s="1" t="s">
        <v>177</v>
      </c>
      <c r="B68" s="1">
        <f t="shared" si="1"/>
        <v>67</v>
      </c>
      <c r="C68" s="6" t="str">
        <f>IF(COUNTIF(PC.IT105.Inp!$C68:$L68,"")=10,"","NULL")</f>
        <v>NULL</v>
      </c>
      <c r="D68" s="6" t="str">
        <f>IF(COUNTIF(PC.IT105.Inp!$C68:$L68,"")=10,"","NULL")</f>
        <v>NULL</v>
      </c>
      <c r="E68" s="6">
        <f>IF(COUNTIF(PC.IT105.Inp!$C68:$L68,"")=10,"",$B68)</f>
        <v>67</v>
      </c>
      <c r="F68" s="6">
        <f>IF(COUNTIF(PC.IT105.Inp!$C68:$L68,"")=10,"",IF(PC.IT105.Inp!$C68="","NULL",PC.IT105.Inp!$C68))</f>
        <v>1188</v>
      </c>
      <c r="G68" s="6">
        <f>IF(COUNTIF(PC.IT105.Inp!$C68:$L68,"")=10,"",IF(PC.IT105.Inp!$D68="","NULL",PC.IT105.Inp!$D68))</f>
        <v>396</v>
      </c>
      <c r="H68" s="6">
        <f>IF(COUNTIF(PC.IT105.Inp!$C68:$L68,"")=10,"",IF(PC.IT105.Inp!$E68="","NULL",PC.IT105.Inp!$E68))</f>
        <v>72</v>
      </c>
      <c r="I68" s="6">
        <f>IF(COUNTIF(PC.IT105.Inp!$C68:$L68,"")=10,"",IF(PC.IT105.Inp!$F68="","NULL",PC.IT105.Inp!$F68))</f>
        <v>72</v>
      </c>
      <c r="J68" s="6" t="str">
        <f>IF(COUNTIF(PC.IT105.Inp!$C68:$L68,"")=10,"",IF(PC.IT105.Inp!$G68="","NULL",""""&amp;PC.IT105.Inp!$G68&amp;""""))</f>
        <v>NULL</v>
      </c>
      <c r="K68" s="6" t="str">
        <f>IF(COUNTIF(PC.IT105.Inp!$C68:$L68,"")=10,"",IF(PC.IT105.Inp!$H68="","NULL",""""&amp;PC.IT105.Inp!$H68&amp;""""))</f>
        <v>"Down"</v>
      </c>
      <c r="L68" s="6" t="str">
        <f>IF(COUNTIF(PC.IT105.Inp!$C68:$L68,"")=10,"",IF(PC.IT105.Inp!$I68="","NULL",""""&amp;PC.IT105.Inp!$I68&amp;""""))</f>
        <v>NULL</v>
      </c>
      <c r="M68" s="6" t="str">
        <f>IF(COUNTIF(PC.IT105.Inp!$C68:$L68,"")=10,"",IF(PC.IT105.Inp!$J68="","NULL",""""&amp;PC.IT105.Inp!$J68&amp;""""))</f>
        <v>NULL</v>
      </c>
      <c r="N68" s="6">
        <f>IF(COUNTIF(PC.IT105.Inp!$C68:$L68,"")=10,"",IF(PC.IT105.Inp!$K68="","NULL",PC.IT105.Inp!$K68))</f>
        <v>0</v>
      </c>
      <c r="O68" s="6">
        <f>IF(COUNTIF(PC.IT105.Inp!$C68:$L68,"")=10,"",IF(PC.IT105.Inp!$L68="","NULL",PC.IT105.Inp!$L68))</f>
        <v>0</v>
      </c>
      <c r="P68" s="7" t="str">
        <f>IF(COUNTIF(PC.TU105.Inp!$C68:$L68,"")=10,"","("&amp;aconcat($C68:$O68,",")&amp;"),")</f>
        <v>(NULL,NULL,67,1188,396,72,72,NULL,"Down",NULL,NULL,0,0),</v>
      </c>
    </row>
    <row r="69" spans="1:16" x14ac:dyDescent="0.3">
      <c r="A69" s="1" t="s">
        <v>178</v>
      </c>
      <c r="B69" s="1">
        <f t="shared" si="1"/>
        <v>68</v>
      </c>
      <c r="C69" s="6" t="str">
        <f>IF(COUNTIF(PC.IT105.Inp!$C69:$L69,"")=10,"","NULL")</f>
        <v>NULL</v>
      </c>
      <c r="D69" s="6" t="str">
        <f>IF(COUNTIF(PC.IT105.Inp!$C69:$L69,"")=10,"","NULL")</f>
        <v>NULL</v>
      </c>
      <c r="E69" s="6">
        <f>IF(COUNTIF(PC.IT105.Inp!$C69:$L69,"")=10,"",$B69)</f>
        <v>68</v>
      </c>
      <c r="F69" s="6">
        <f>IF(COUNTIF(PC.IT105.Inp!$C69:$L69,"")=10,"",IF(PC.IT105.Inp!$C69="","NULL",PC.IT105.Inp!$C69))</f>
        <v>1260</v>
      </c>
      <c r="G69" s="6">
        <f>IF(COUNTIF(PC.IT105.Inp!$C69:$L69,"")=10,"",IF(PC.IT105.Inp!$D69="","NULL",PC.IT105.Inp!$D69))</f>
        <v>108</v>
      </c>
      <c r="H69" s="6">
        <f>IF(COUNTIF(PC.IT105.Inp!$C69:$L69,"")=10,"",IF(PC.IT105.Inp!$E69="","NULL",PC.IT105.Inp!$E69))</f>
        <v>72</v>
      </c>
      <c r="I69" s="6">
        <f>IF(COUNTIF(PC.IT105.Inp!$C69:$L69,"")=10,"",IF(PC.IT105.Inp!$F69="","NULL",PC.IT105.Inp!$F69))</f>
        <v>72</v>
      </c>
      <c r="J69" s="6" t="str">
        <f>IF(COUNTIF(PC.IT105.Inp!$C69:$L69,"")=10,"",IF(PC.IT105.Inp!$G69="","NULL",""""&amp;PC.IT105.Inp!$G69&amp;""""))</f>
        <v>NULL</v>
      </c>
      <c r="K69" s="6" t="str">
        <f>IF(COUNTIF(PC.IT105.Inp!$C69:$L69,"")=10,"",IF(PC.IT105.Inp!$H69="","NULL",""""&amp;PC.IT105.Inp!$H69&amp;""""))</f>
        <v>"Page Up"</v>
      </c>
      <c r="L69" s="6" t="str">
        <f>IF(COUNTIF(PC.IT105.Inp!$C69:$L69,"")=10,"",IF(PC.IT105.Inp!$I69="","NULL",""""&amp;PC.IT105.Inp!$I69&amp;""""))</f>
        <v>NULL</v>
      </c>
      <c r="M69" s="6" t="str">
        <f>IF(COUNTIF(PC.IT105.Inp!$C69:$L69,"")=10,"",IF(PC.IT105.Inp!$J69="","NULL",""""&amp;PC.IT105.Inp!$J69&amp;""""))</f>
        <v>NULL</v>
      </c>
      <c r="N69" s="6">
        <f>IF(COUNTIF(PC.IT105.Inp!$C69:$L69,"")=10,"",IF(PC.IT105.Inp!$K69="","NULL",PC.IT105.Inp!$K69))</f>
        <v>0</v>
      </c>
      <c r="O69" s="6">
        <f>IF(COUNTIF(PC.IT105.Inp!$C69:$L69,"")=10,"",IF(PC.IT105.Inp!$L69="","NULL",PC.IT105.Inp!$L69))</f>
        <v>0</v>
      </c>
      <c r="P69" s="7" t="str">
        <f>IF(COUNTIF(PC.TU105.Inp!$C69:$L69,"")=10,"","("&amp;aconcat($C69:$O69,",")&amp;"),")</f>
        <v>(NULL,NULL,68,1260,108,72,72,NULL,"Page Up",NULL,NULL,0,0),</v>
      </c>
    </row>
    <row r="70" spans="1:16" x14ac:dyDescent="0.3">
      <c r="A70" s="1" t="s">
        <v>182</v>
      </c>
      <c r="B70" s="1">
        <f t="shared" si="1"/>
        <v>69</v>
      </c>
      <c r="C70" s="6" t="str">
        <f>IF(COUNTIF(PC.IT105.Inp!$C70:$L70,"")=10,"","NULL")</f>
        <v>NULL</v>
      </c>
      <c r="D70" s="6" t="str">
        <f>IF(COUNTIF(PC.IT105.Inp!$C70:$L70,"")=10,"","NULL")</f>
        <v>NULL</v>
      </c>
      <c r="E70" s="6">
        <f>IF(COUNTIF(PC.IT105.Inp!$C70:$L70,"")=10,"",$B70)</f>
        <v>69</v>
      </c>
      <c r="F70" s="6">
        <f>IF(COUNTIF(PC.IT105.Inp!$C70:$L70,"")=10,"",IF(PC.IT105.Inp!$C70="","NULL",PC.IT105.Inp!$C70))</f>
        <v>1260</v>
      </c>
      <c r="G70" s="6">
        <f>IF(COUNTIF(PC.IT105.Inp!$C70:$L70,"")=10,"",IF(PC.IT105.Inp!$D70="","NULL",PC.IT105.Inp!$D70))</f>
        <v>180</v>
      </c>
      <c r="H70" s="6">
        <f>IF(COUNTIF(PC.IT105.Inp!$C70:$L70,"")=10,"",IF(PC.IT105.Inp!$E70="","NULL",PC.IT105.Inp!$E70))</f>
        <v>72</v>
      </c>
      <c r="I70" s="6">
        <f>IF(COUNTIF(PC.IT105.Inp!$C70:$L70,"")=10,"",IF(PC.IT105.Inp!$F70="","NULL",PC.IT105.Inp!$F70))</f>
        <v>72</v>
      </c>
      <c r="J70" s="6" t="str">
        <f>IF(COUNTIF(PC.IT105.Inp!$C70:$L70,"")=10,"",IF(PC.IT105.Inp!$G70="","NULL",""""&amp;PC.IT105.Inp!$G70&amp;""""))</f>
        <v>NULL</v>
      </c>
      <c r="K70" s="6" t="str">
        <f>IF(COUNTIF(PC.IT105.Inp!$C70:$L70,"")=10,"",IF(PC.IT105.Inp!$H70="","NULL",""""&amp;PC.IT105.Inp!$H70&amp;""""))</f>
        <v>"Page Dn"</v>
      </c>
      <c r="L70" s="6" t="str">
        <f>IF(COUNTIF(PC.IT105.Inp!$C70:$L70,"")=10,"",IF(PC.IT105.Inp!$I70="","NULL",""""&amp;PC.IT105.Inp!$I70&amp;""""))</f>
        <v>NULL</v>
      </c>
      <c r="M70" s="6" t="str">
        <f>IF(COUNTIF(PC.IT105.Inp!$C70:$L70,"")=10,"",IF(PC.IT105.Inp!$J70="","NULL",""""&amp;PC.IT105.Inp!$J70&amp;""""))</f>
        <v>NULL</v>
      </c>
      <c r="N70" s="6">
        <f>IF(COUNTIF(PC.IT105.Inp!$C70:$L70,"")=10,"",IF(PC.IT105.Inp!$K70="","NULL",PC.IT105.Inp!$K70))</f>
        <v>0</v>
      </c>
      <c r="O70" s="6">
        <f>IF(COUNTIF(PC.IT105.Inp!$C70:$L70,"")=10,"",IF(PC.IT105.Inp!$L70="","NULL",PC.IT105.Inp!$L70))</f>
        <v>0</v>
      </c>
      <c r="P70" s="7" t="str">
        <f>IF(COUNTIF(PC.TU105.Inp!$C70:$L70,"")=10,"","("&amp;aconcat($C70:$O70,",")&amp;"),")</f>
        <v>(NULL,NULL,69,1260,180,72,72,NULL,"Page Dn",NULL,NULL,0,0),</v>
      </c>
    </row>
    <row r="71" spans="1:16" x14ac:dyDescent="0.3">
      <c r="A71" s="1" t="s">
        <v>179</v>
      </c>
      <c r="B71" s="1">
        <f t="shared" si="1"/>
        <v>70</v>
      </c>
      <c r="C71" s="6" t="str">
        <f>IF(COUNTIF(PC.IT105.Inp!$C71:$L71,"")=10,"","NULL")</f>
        <v>NULL</v>
      </c>
      <c r="D71" s="6" t="str">
        <f>IF(COUNTIF(PC.IT105.Inp!$C71:$L71,"")=10,"","NULL")</f>
        <v>NULL</v>
      </c>
      <c r="E71" s="6">
        <f>IF(COUNTIF(PC.IT105.Inp!$C71:$L71,"")=10,"",$B71)</f>
        <v>70</v>
      </c>
      <c r="F71" s="6">
        <f>IF(COUNTIF(PC.IT105.Inp!$C71:$L71,"")=10,"",IF(PC.IT105.Inp!$C71="","NULL",PC.IT105.Inp!$C71))</f>
        <v>1260</v>
      </c>
      <c r="G71" s="6">
        <f>IF(COUNTIF(PC.IT105.Inp!$C71:$L71,"")=10,"",IF(PC.IT105.Inp!$D71="","NULL",PC.IT105.Inp!$D71))</f>
        <v>396</v>
      </c>
      <c r="H71" s="6">
        <f>IF(COUNTIF(PC.IT105.Inp!$C71:$L71,"")=10,"",IF(PC.IT105.Inp!$E71="","NULL",PC.IT105.Inp!$E71))</f>
        <v>72</v>
      </c>
      <c r="I71" s="6">
        <f>IF(COUNTIF(PC.IT105.Inp!$C71:$L71,"")=10,"",IF(PC.IT105.Inp!$F71="","NULL",PC.IT105.Inp!$F71))</f>
        <v>72</v>
      </c>
      <c r="J71" s="6" t="str">
        <f>IF(COUNTIF(PC.IT105.Inp!$C71:$L71,"")=10,"",IF(PC.IT105.Inp!$G71="","NULL",""""&amp;PC.IT105.Inp!$G71&amp;""""))</f>
        <v>NULL</v>
      </c>
      <c r="K71" s="6" t="str">
        <f>IF(COUNTIF(PC.IT105.Inp!$C71:$L71,"")=10,"",IF(PC.IT105.Inp!$H71="","NULL",""""&amp;PC.IT105.Inp!$H71&amp;""""))</f>
        <v>"Right"</v>
      </c>
      <c r="L71" s="6" t="str">
        <f>IF(COUNTIF(PC.IT105.Inp!$C71:$L71,"")=10,"",IF(PC.IT105.Inp!$I71="","NULL",""""&amp;PC.IT105.Inp!$I71&amp;""""))</f>
        <v>NULL</v>
      </c>
      <c r="M71" s="6" t="str">
        <f>IF(COUNTIF(PC.IT105.Inp!$C71:$L71,"")=10,"",IF(PC.IT105.Inp!$J71="","NULL",""""&amp;PC.IT105.Inp!$J71&amp;""""))</f>
        <v>NULL</v>
      </c>
      <c r="N71" s="6">
        <f>IF(COUNTIF(PC.IT105.Inp!$C71:$L71,"")=10,"",IF(PC.IT105.Inp!$K71="","NULL",PC.IT105.Inp!$K71))</f>
        <v>0</v>
      </c>
      <c r="O71" s="6">
        <f>IF(COUNTIF(PC.IT105.Inp!$C71:$L71,"")=10,"",IF(PC.IT105.Inp!$L71="","NULL",PC.IT105.Inp!$L71))</f>
        <v>0</v>
      </c>
      <c r="P71" s="7" t="str">
        <f>IF(COUNTIF(PC.TU105.Inp!$C71:$L71,"")=10,"","("&amp;aconcat($C71:$O71,",")&amp;"),")</f>
        <v>(NULL,NULL,70,1260,396,72,72,NULL,"Right",NULL,NULL,0,0),</v>
      </c>
    </row>
    <row r="72" spans="1:16" x14ac:dyDescent="0.3">
      <c r="A72" s="1" t="s">
        <v>180</v>
      </c>
      <c r="B72" s="1">
        <f t="shared" si="1"/>
        <v>71</v>
      </c>
      <c r="C72" s="6" t="str">
        <f>IF(COUNTIF(PC.IT105.Inp!$C72:$L72,"")=10,"","NULL")</f>
        <v>NULL</v>
      </c>
      <c r="D72" s="6" t="str">
        <f>IF(COUNTIF(PC.IT105.Inp!$C72:$L72,"")=10,"","NULL")</f>
        <v>NULL</v>
      </c>
      <c r="E72" s="6">
        <f>IF(COUNTIF(PC.IT105.Inp!$C72:$L72,"")=10,"",$B72)</f>
        <v>71</v>
      </c>
      <c r="F72" s="6">
        <f>IF(COUNTIF(PC.IT105.Inp!$C72:$L72,"")=10,"",IF(PC.IT105.Inp!$C72="","NULL",PC.IT105.Inp!$C72))</f>
        <v>1368</v>
      </c>
      <c r="G72" s="6">
        <f>IF(COUNTIF(PC.IT105.Inp!$C72:$L72,"")=10,"",IF(PC.IT105.Inp!$D72="","NULL",PC.IT105.Inp!$D72))</f>
        <v>108</v>
      </c>
      <c r="H72" s="6">
        <f>IF(COUNTIF(PC.IT105.Inp!$C72:$L72,"")=10,"",IF(PC.IT105.Inp!$E72="","NULL",PC.IT105.Inp!$E72))</f>
        <v>72</v>
      </c>
      <c r="I72" s="6">
        <f>IF(COUNTIF(PC.IT105.Inp!$C72:$L72,"")=10,"",IF(PC.IT105.Inp!$F72="","NULL",PC.IT105.Inp!$F72))</f>
        <v>72</v>
      </c>
      <c r="J72" s="6" t="str">
        <f>IF(COUNTIF(PC.IT105.Inp!$C72:$L72,"")=10,"",IF(PC.IT105.Inp!$G72="","NULL",""""&amp;PC.IT105.Inp!$G72&amp;""""))</f>
        <v>NULL</v>
      </c>
      <c r="K72" s="6" t="str">
        <f>IF(COUNTIF(PC.IT105.Inp!$C72:$L72,"")=10,"",IF(PC.IT105.Inp!$H72="","NULL",""""&amp;PC.IT105.Inp!$H72&amp;""""))</f>
        <v>"NumLk"</v>
      </c>
      <c r="L72" s="6" t="str">
        <f>IF(COUNTIF(PC.IT105.Inp!$C72:$L72,"")=10,"",IF(PC.IT105.Inp!$I72="","NULL",""""&amp;PC.IT105.Inp!$I72&amp;""""))</f>
        <v>NULL</v>
      </c>
      <c r="M72" s="6" t="str">
        <f>IF(COUNTIF(PC.IT105.Inp!$C72:$L72,"")=10,"",IF(PC.IT105.Inp!$J72="","NULL",""""&amp;PC.IT105.Inp!$J72&amp;""""))</f>
        <v>NULL</v>
      </c>
      <c r="N72" s="6">
        <f>IF(COUNTIF(PC.IT105.Inp!$C72:$L72,"")=10,"",IF(PC.IT105.Inp!$K72="","NULL",PC.IT105.Inp!$K72))</f>
        <v>0</v>
      </c>
      <c r="O72" s="6">
        <f>IF(COUNTIF(PC.IT105.Inp!$C72:$L72,"")=10,"",IF(PC.IT105.Inp!$L72="","NULL",PC.IT105.Inp!$L72))</f>
        <v>1</v>
      </c>
      <c r="P72" s="7" t="str">
        <f>IF(COUNTIF(PC.TU105.Inp!$C72:$L72,"")=10,"","("&amp;aconcat($C72:$O72,",")&amp;"),")</f>
        <v>(NULL,NULL,71,1368,108,72,72,NULL,"NumLk",NULL,NULL,0,1),</v>
      </c>
    </row>
    <row r="73" spans="1:16" x14ac:dyDescent="0.3">
      <c r="A73" s="1" t="s">
        <v>175</v>
      </c>
      <c r="B73" s="1">
        <f t="shared" si="1"/>
        <v>72</v>
      </c>
      <c r="C73" s="6" t="str">
        <f>IF(COUNTIF(PC.IT105.Inp!$C73:$L73,"")=10,"","NULL")</f>
        <v>NULL</v>
      </c>
      <c r="D73" s="6" t="str">
        <f>IF(COUNTIF(PC.IT105.Inp!$C73:$L73,"")=10,"","NULL")</f>
        <v>NULL</v>
      </c>
      <c r="E73" s="6">
        <f>IF(COUNTIF(PC.IT105.Inp!$C73:$L73,"")=10,"",$B73)</f>
        <v>72</v>
      </c>
      <c r="F73" s="6">
        <f>IF(COUNTIF(PC.IT105.Inp!$C73:$L73,"")=10,"",IF(PC.IT105.Inp!$C73="","NULL",PC.IT105.Inp!$C73))</f>
        <v>1368</v>
      </c>
      <c r="G73" s="6">
        <f>IF(COUNTIF(PC.IT105.Inp!$C73:$L73,"")=10,"",IF(PC.IT105.Inp!$D73="","NULL",PC.IT105.Inp!$D73))</f>
        <v>180</v>
      </c>
      <c r="H73" s="6">
        <f>IF(COUNTIF(PC.IT105.Inp!$C73:$L73,"")=10,"",IF(PC.IT105.Inp!$E73="","NULL",PC.IT105.Inp!$E73))</f>
        <v>72</v>
      </c>
      <c r="I73" s="6">
        <f>IF(COUNTIF(PC.IT105.Inp!$C73:$L73,"")=10,"",IF(PC.IT105.Inp!$F73="","NULL",PC.IT105.Inp!$F73))</f>
        <v>72</v>
      </c>
      <c r="J73" s="6" t="str">
        <f>IF(COUNTIF(PC.IT105.Inp!$C73:$L73,"")=10,"",IF(PC.IT105.Inp!$G73="","NULL",""""&amp;PC.IT105.Inp!$G73&amp;""""))</f>
        <v>"7"</v>
      </c>
      <c r="K73" s="6" t="str">
        <f>IF(COUNTIF(PC.IT105.Inp!$C73:$L73,"")=10,"",IF(PC.IT105.Inp!$H73="","NULL",""""&amp;PC.IT105.Inp!$H73&amp;""""))</f>
        <v>"Home"</v>
      </c>
      <c r="L73" s="6" t="str">
        <f>IF(COUNTIF(PC.IT105.Inp!$C73:$L73,"")=10,"",IF(PC.IT105.Inp!$I73="","NULL",""""&amp;PC.IT105.Inp!$I73&amp;""""))</f>
        <v>NULL</v>
      </c>
      <c r="M73" s="6" t="str">
        <f>IF(COUNTIF(PC.IT105.Inp!$C73:$L73,"")=10,"",IF(PC.IT105.Inp!$J73="","NULL",""""&amp;PC.IT105.Inp!$J73&amp;""""))</f>
        <v>NULL</v>
      </c>
      <c r="N73" s="6">
        <f>IF(COUNTIF(PC.IT105.Inp!$C73:$L73,"")=10,"",IF(PC.IT105.Inp!$K73="","NULL",PC.IT105.Inp!$K73))</f>
        <v>0</v>
      </c>
      <c r="O73" s="6">
        <f>IF(COUNTIF(PC.IT105.Inp!$C73:$L73,"")=10,"",IF(PC.IT105.Inp!$L73="","NULL",PC.IT105.Inp!$L73))</f>
        <v>1</v>
      </c>
      <c r="P73" s="7" t="str">
        <f>IF(COUNTIF(PC.TU105.Inp!$C73:$L73,"")=10,"","("&amp;aconcat($C73:$O73,",")&amp;"),")</f>
        <v>(NULL,NULL,72,1368,180,72,72,"7","Home",NULL,NULL,0,1),</v>
      </c>
    </row>
    <row r="74" spans="1:16" x14ac:dyDescent="0.3">
      <c r="A74" s="1" t="s">
        <v>174</v>
      </c>
      <c r="B74" s="1">
        <f t="shared" si="1"/>
        <v>73</v>
      </c>
      <c r="C74" s="6" t="str">
        <f>IF(COUNTIF(PC.IT105.Inp!$C74:$L74,"")=10,"","NULL")</f>
        <v>NULL</v>
      </c>
      <c r="D74" s="6" t="str">
        <f>IF(COUNTIF(PC.IT105.Inp!$C74:$L74,"")=10,"","NULL")</f>
        <v>NULL</v>
      </c>
      <c r="E74" s="6">
        <f>IF(COUNTIF(PC.IT105.Inp!$C74:$L74,"")=10,"",$B74)</f>
        <v>73</v>
      </c>
      <c r="F74" s="6">
        <f>IF(COUNTIF(PC.IT105.Inp!$C74:$L74,"")=10,"",IF(PC.IT105.Inp!$C74="","NULL",PC.IT105.Inp!$C74))</f>
        <v>1368</v>
      </c>
      <c r="G74" s="6">
        <f>IF(COUNTIF(PC.IT105.Inp!$C74:$L74,"")=10,"",IF(PC.IT105.Inp!$D74="","NULL",PC.IT105.Inp!$D74))</f>
        <v>252</v>
      </c>
      <c r="H74" s="6">
        <f>IF(COUNTIF(PC.IT105.Inp!$C74:$L74,"")=10,"",IF(PC.IT105.Inp!$E74="","NULL",PC.IT105.Inp!$E74))</f>
        <v>72</v>
      </c>
      <c r="I74" s="6">
        <f>IF(COUNTIF(PC.IT105.Inp!$C74:$L74,"")=10,"",IF(PC.IT105.Inp!$F74="","NULL",PC.IT105.Inp!$F74))</f>
        <v>72</v>
      </c>
      <c r="J74" s="6" t="str">
        <f>IF(COUNTIF(PC.IT105.Inp!$C74:$L74,"")=10,"",IF(PC.IT105.Inp!$G74="","NULL",""""&amp;PC.IT105.Inp!$G74&amp;""""))</f>
        <v>"4"</v>
      </c>
      <c r="K74" s="6" t="str">
        <f>IF(COUNTIF(PC.IT105.Inp!$C74:$L74,"")=10,"",IF(PC.IT105.Inp!$H74="","NULL",""""&amp;PC.IT105.Inp!$H74&amp;""""))</f>
        <v>"Left"</v>
      </c>
      <c r="L74" s="6" t="str">
        <f>IF(COUNTIF(PC.IT105.Inp!$C74:$L74,"")=10,"",IF(PC.IT105.Inp!$I74="","NULL",""""&amp;PC.IT105.Inp!$I74&amp;""""))</f>
        <v>NULL</v>
      </c>
      <c r="M74" s="6" t="str">
        <f>IF(COUNTIF(PC.IT105.Inp!$C74:$L74,"")=10,"",IF(PC.IT105.Inp!$J74="","NULL",""""&amp;PC.IT105.Inp!$J74&amp;""""))</f>
        <v>NULL</v>
      </c>
      <c r="N74" s="6">
        <f>IF(COUNTIF(PC.IT105.Inp!$C74:$L74,"")=10,"",IF(PC.IT105.Inp!$K74="","NULL",PC.IT105.Inp!$K74))</f>
        <v>0</v>
      </c>
      <c r="O74" s="6">
        <f>IF(COUNTIF(PC.IT105.Inp!$C74:$L74,"")=10,"",IF(PC.IT105.Inp!$L74="","NULL",PC.IT105.Inp!$L74))</f>
        <v>1</v>
      </c>
      <c r="P74" s="7" t="str">
        <f>IF(COUNTIF(PC.TU105.Inp!$C74:$L74,"")=10,"","("&amp;aconcat($C74:$O74,",")&amp;"),")</f>
        <v>(NULL,NULL,73,1368,252,72,72,"4","Left",NULL,NULL,0,1),</v>
      </c>
    </row>
    <row r="75" spans="1:16" x14ac:dyDescent="0.3">
      <c r="A75" s="1" t="s">
        <v>181</v>
      </c>
      <c r="B75" s="1">
        <f t="shared" si="1"/>
        <v>74</v>
      </c>
      <c r="C75" s="6" t="str">
        <f>IF(COUNTIF(PC.IT105.Inp!$C75:$L75,"")=10,"","NULL")</f>
        <v>NULL</v>
      </c>
      <c r="D75" s="6" t="str">
        <f>IF(COUNTIF(PC.IT105.Inp!$C75:$L75,"")=10,"","NULL")</f>
        <v>NULL</v>
      </c>
      <c r="E75" s="6">
        <f>IF(COUNTIF(PC.IT105.Inp!$C75:$L75,"")=10,"",$B75)</f>
        <v>74</v>
      </c>
      <c r="F75" s="6">
        <f>IF(COUNTIF(PC.IT105.Inp!$C75:$L75,"")=10,"",IF(PC.IT105.Inp!$C75="","NULL",PC.IT105.Inp!$C75))</f>
        <v>1368</v>
      </c>
      <c r="G75" s="6">
        <f>IF(COUNTIF(PC.IT105.Inp!$C75:$L75,"")=10,"",IF(PC.IT105.Inp!$D75="","NULL",PC.IT105.Inp!$D75))</f>
        <v>324</v>
      </c>
      <c r="H75" s="6">
        <f>IF(COUNTIF(PC.IT105.Inp!$C75:$L75,"")=10,"",IF(PC.IT105.Inp!$E75="","NULL",PC.IT105.Inp!$E75))</f>
        <v>72</v>
      </c>
      <c r="I75" s="6">
        <f>IF(COUNTIF(PC.IT105.Inp!$C75:$L75,"")=10,"",IF(PC.IT105.Inp!$F75="","NULL",PC.IT105.Inp!$F75))</f>
        <v>72</v>
      </c>
      <c r="J75" s="6" t="str">
        <f>IF(COUNTIF(PC.IT105.Inp!$C75:$L75,"")=10,"",IF(PC.IT105.Inp!$G75="","NULL",""""&amp;PC.IT105.Inp!$G75&amp;""""))</f>
        <v>"1"</v>
      </c>
      <c r="K75" s="6" t="str">
        <f>IF(COUNTIF(PC.IT105.Inp!$C75:$L75,"")=10,"",IF(PC.IT105.Inp!$H75="","NULL",""""&amp;PC.IT105.Inp!$H75&amp;""""))</f>
        <v>"End"</v>
      </c>
      <c r="L75" s="6" t="str">
        <f>IF(COUNTIF(PC.IT105.Inp!$C75:$L75,"")=10,"",IF(PC.IT105.Inp!$I75="","NULL",""""&amp;PC.IT105.Inp!$I75&amp;""""))</f>
        <v>NULL</v>
      </c>
      <c r="M75" s="6" t="str">
        <f>IF(COUNTIF(PC.IT105.Inp!$C75:$L75,"")=10,"",IF(PC.IT105.Inp!$J75="","NULL",""""&amp;PC.IT105.Inp!$J75&amp;""""))</f>
        <v>NULL</v>
      </c>
      <c r="N75" s="6">
        <f>IF(COUNTIF(PC.IT105.Inp!$C75:$L75,"")=10,"",IF(PC.IT105.Inp!$K75="","NULL",PC.IT105.Inp!$K75))</f>
        <v>0</v>
      </c>
      <c r="O75" s="6">
        <f>IF(COUNTIF(PC.IT105.Inp!$C75:$L75,"")=10,"",IF(PC.IT105.Inp!$L75="","NULL",PC.IT105.Inp!$L75))</f>
        <v>1</v>
      </c>
      <c r="P75" s="7" t="str">
        <f>IF(COUNTIF(PC.TU105.Inp!$C75:$L75,"")=10,"","("&amp;aconcat($C75:$O75,",")&amp;"),")</f>
        <v>(NULL,NULL,74,1368,324,72,72,"1","End",NULL,NULL,0,1),</v>
      </c>
    </row>
    <row r="76" spans="1:16" x14ac:dyDescent="0.3">
      <c r="A76" s="1" t="s">
        <v>23</v>
      </c>
      <c r="B76" s="1">
        <f t="shared" si="1"/>
        <v>75</v>
      </c>
      <c r="C76" s="6" t="str">
        <f>IF(COUNTIF(PC.IT105.Inp!$C76:$L76,"")=10,"","NULL")</f>
        <v>NULL</v>
      </c>
      <c r="D76" s="6" t="str">
        <f>IF(COUNTIF(PC.IT105.Inp!$C76:$L76,"")=10,"","NULL")</f>
        <v>NULL</v>
      </c>
      <c r="E76" s="6">
        <f>IF(COUNTIF(PC.IT105.Inp!$C76:$L76,"")=10,"",$B76)</f>
        <v>75</v>
      </c>
      <c r="F76" s="6">
        <f>IF(COUNTIF(PC.IT105.Inp!$C76:$L76,"")=10,"",IF(PC.IT105.Inp!$C76="","NULL",PC.IT105.Inp!$C76))</f>
        <v>1440</v>
      </c>
      <c r="G76" s="6">
        <f>IF(COUNTIF(PC.IT105.Inp!$C76:$L76,"")=10,"",IF(PC.IT105.Inp!$D76="","NULL",PC.IT105.Inp!$D76))</f>
        <v>108</v>
      </c>
      <c r="H76" s="6">
        <f>IF(COUNTIF(PC.IT105.Inp!$C76:$L76,"")=10,"",IF(PC.IT105.Inp!$E76="","NULL",PC.IT105.Inp!$E76))</f>
        <v>72</v>
      </c>
      <c r="I76" s="6">
        <f>IF(COUNTIF(PC.IT105.Inp!$C76:$L76,"")=10,"",IF(PC.IT105.Inp!$F76="","NULL",PC.IT105.Inp!$F76))</f>
        <v>72</v>
      </c>
      <c r="J76" s="6" t="str">
        <f>IF(COUNTIF(PC.IT105.Inp!$C76:$L76,"")=10,"",IF(PC.IT105.Inp!$G76="","NULL",""""&amp;PC.IT105.Inp!$G76&amp;""""))</f>
        <v>NULL</v>
      </c>
      <c r="K76" s="6" t="str">
        <f>IF(COUNTIF(PC.IT105.Inp!$C76:$L76,"")=10,"",IF(PC.IT105.Inp!$H76="","NULL",""""&amp;PC.IT105.Inp!$H76&amp;""""))</f>
        <v>"/"</v>
      </c>
      <c r="L76" s="6" t="str">
        <f>IF(COUNTIF(PC.IT105.Inp!$C76:$L76,"")=10,"",IF(PC.IT105.Inp!$I76="","NULL",""""&amp;PC.IT105.Inp!$I76&amp;""""))</f>
        <v>NULL</v>
      </c>
      <c r="M76" s="6" t="str">
        <f>IF(COUNTIF(PC.IT105.Inp!$C76:$L76,"")=10,"",IF(PC.IT105.Inp!$J76="","NULL",""""&amp;PC.IT105.Inp!$J76&amp;""""))</f>
        <v>NULL</v>
      </c>
      <c r="N76" s="6">
        <f>IF(COUNTIF(PC.IT105.Inp!$C76:$L76,"")=10,"",IF(PC.IT105.Inp!$K76="","NULL",PC.IT105.Inp!$K76))</f>
        <v>0</v>
      </c>
      <c r="O76" s="6">
        <f>IF(COUNTIF(PC.IT105.Inp!$C76:$L76,"")=10,"",IF(PC.IT105.Inp!$L76="","NULL",PC.IT105.Inp!$L76))</f>
        <v>1</v>
      </c>
      <c r="P76" s="7" t="str">
        <f>IF(COUNTIF(PC.TU105.Inp!$C76:$L76,"")=10,"","("&amp;aconcat($C76:$O76,",")&amp;"),")</f>
        <v>(NULL,NULL,75,1440,108,72,72,NULL,"/",NULL,NULL,0,1),</v>
      </c>
    </row>
    <row r="77" spans="1:16" x14ac:dyDescent="0.3">
      <c r="A77" s="1" t="s">
        <v>176</v>
      </c>
      <c r="B77" s="1">
        <f t="shared" si="1"/>
        <v>76</v>
      </c>
      <c r="C77" s="6" t="str">
        <f>IF(COUNTIF(PC.IT105.Inp!$C77:$L77,"")=10,"","NULL")</f>
        <v>NULL</v>
      </c>
      <c r="D77" s="6" t="str">
        <f>IF(COUNTIF(PC.IT105.Inp!$C77:$L77,"")=10,"","NULL")</f>
        <v>NULL</v>
      </c>
      <c r="E77" s="6">
        <f>IF(COUNTIF(PC.IT105.Inp!$C77:$L77,"")=10,"",$B77)</f>
        <v>76</v>
      </c>
      <c r="F77" s="6">
        <f>IF(COUNTIF(PC.IT105.Inp!$C77:$L77,"")=10,"",IF(PC.IT105.Inp!$C77="","NULL",PC.IT105.Inp!$C77))</f>
        <v>1440</v>
      </c>
      <c r="G77" s="6">
        <f>IF(COUNTIF(PC.IT105.Inp!$C77:$L77,"")=10,"",IF(PC.IT105.Inp!$D77="","NULL",PC.IT105.Inp!$D77))</f>
        <v>180</v>
      </c>
      <c r="H77" s="6">
        <f>IF(COUNTIF(PC.IT105.Inp!$C77:$L77,"")=10,"",IF(PC.IT105.Inp!$E77="","NULL",PC.IT105.Inp!$E77))</f>
        <v>72</v>
      </c>
      <c r="I77" s="6">
        <f>IF(COUNTIF(PC.IT105.Inp!$C77:$L77,"")=10,"",IF(PC.IT105.Inp!$F77="","NULL",PC.IT105.Inp!$F77))</f>
        <v>72</v>
      </c>
      <c r="J77" s="6" t="str">
        <f>IF(COUNTIF(PC.IT105.Inp!$C77:$L77,"")=10,"",IF(PC.IT105.Inp!$G77="","NULL",""""&amp;PC.IT105.Inp!$G77&amp;""""))</f>
        <v>"8"</v>
      </c>
      <c r="K77" s="6" t="str">
        <f>IF(COUNTIF(PC.IT105.Inp!$C77:$L77,"")=10,"",IF(PC.IT105.Inp!$H77="","NULL",""""&amp;PC.IT105.Inp!$H77&amp;""""))</f>
        <v>"Up"</v>
      </c>
      <c r="L77" s="6" t="str">
        <f>IF(COUNTIF(PC.IT105.Inp!$C77:$L77,"")=10,"",IF(PC.IT105.Inp!$I77="","NULL",""""&amp;PC.IT105.Inp!$I77&amp;""""))</f>
        <v>NULL</v>
      </c>
      <c r="M77" s="6" t="str">
        <f>IF(COUNTIF(PC.IT105.Inp!$C77:$L77,"")=10,"",IF(PC.IT105.Inp!$J77="","NULL",""""&amp;PC.IT105.Inp!$J77&amp;""""))</f>
        <v>NULL</v>
      </c>
      <c r="N77" s="6">
        <f>IF(COUNTIF(PC.IT105.Inp!$C77:$L77,"")=10,"",IF(PC.IT105.Inp!$K77="","NULL",PC.IT105.Inp!$K77))</f>
        <v>0</v>
      </c>
      <c r="O77" s="6">
        <f>IF(COUNTIF(PC.IT105.Inp!$C77:$L77,"")=10,"",IF(PC.IT105.Inp!$L77="","NULL",PC.IT105.Inp!$L77))</f>
        <v>1</v>
      </c>
      <c r="P77" s="7" t="str">
        <f>IF(COUNTIF(PC.TU105.Inp!$C77:$L77,"")=10,"","("&amp;aconcat($C77:$O77,",")&amp;"),")</f>
        <v>(NULL,NULL,76,1440,180,72,72,"8","Up",NULL,NULL,0,1),</v>
      </c>
    </row>
    <row r="78" spans="1:16" x14ac:dyDescent="0.3">
      <c r="A78" s="1" t="s">
        <v>156</v>
      </c>
      <c r="B78" s="1">
        <f t="shared" si="1"/>
        <v>77</v>
      </c>
      <c r="C78" s="6" t="str">
        <f>IF(COUNTIF(PC.IT105.Inp!$C78:$L78,"")=10,"","NULL")</f>
        <v>NULL</v>
      </c>
      <c r="D78" s="6" t="str">
        <f>IF(COUNTIF(PC.IT105.Inp!$C78:$L78,"")=10,"","NULL")</f>
        <v>NULL</v>
      </c>
      <c r="E78" s="6">
        <f>IF(COUNTIF(PC.IT105.Inp!$C78:$L78,"")=10,"",$B78)</f>
        <v>77</v>
      </c>
      <c r="F78" s="6">
        <f>IF(COUNTIF(PC.IT105.Inp!$C78:$L78,"")=10,"",IF(PC.IT105.Inp!$C78="","NULL",PC.IT105.Inp!$C78))</f>
        <v>1440</v>
      </c>
      <c r="G78" s="6">
        <f>IF(COUNTIF(PC.IT105.Inp!$C78:$L78,"")=10,"",IF(PC.IT105.Inp!$D78="","NULL",PC.IT105.Inp!$D78))</f>
        <v>252</v>
      </c>
      <c r="H78" s="6">
        <f>IF(COUNTIF(PC.IT105.Inp!$C78:$L78,"")=10,"",IF(PC.IT105.Inp!$E78="","NULL",PC.IT105.Inp!$E78))</f>
        <v>72</v>
      </c>
      <c r="I78" s="6">
        <f>IF(COUNTIF(PC.IT105.Inp!$C78:$L78,"")=10,"",IF(PC.IT105.Inp!$F78="","NULL",PC.IT105.Inp!$F78))</f>
        <v>72</v>
      </c>
      <c r="J78" s="6" t="str">
        <f>IF(COUNTIF(PC.IT105.Inp!$C78:$L78,"")=10,"",IF(PC.IT105.Inp!$G78="","NULL",""""&amp;PC.IT105.Inp!$G78&amp;""""))</f>
        <v>"5"</v>
      </c>
      <c r="K78" s="6" t="str">
        <f>IF(COUNTIF(PC.IT105.Inp!$C78:$L78,"")=10,"",IF(PC.IT105.Inp!$H78="","NULL",""""&amp;PC.IT105.Inp!$H78&amp;""""))</f>
        <v>"blank"</v>
      </c>
      <c r="L78" s="6" t="str">
        <f>IF(COUNTIF(PC.IT105.Inp!$C78:$L78,"")=10,"",IF(PC.IT105.Inp!$I78="","NULL",""""&amp;PC.IT105.Inp!$I78&amp;""""))</f>
        <v>NULL</v>
      </c>
      <c r="M78" s="6" t="str">
        <f>IF(COUNTIF(PC.IT105.Inp!$C78:$L78,"")=10,"",IF(PC.IT105.Inp!$J78="","NULL",""""&amp;PC.IT105.Inp!$J78&amp;""""))</f>
        <v>NULL</v>
      </c>
      <c r="N78" s="6">
        <f>IF(COUNTIF(PC.IT105.Inp!$C78:$L78,"")=10,"",IF(PC.IT105.Inp!$K78="","NULL",PC.IT105.Inp!$K78))</f>
        <v>0</v>
      </c>
      <c r="O78" s="6">
        <f>IF(COUNTIF(PC.IT105.Inp!$C78:$L78,"")=10,"",IF(PC.IT105.Inp!$L78="","NULL",PC.IT105.Inp!$L78))</f>
        <v>1</v>
      </c>
      <c r="P78" s="7" t="str">
        <f>IF(COUNTIF(PC.TU105.Inp!$C78:$L78,"")=10,"","("&amp;aconcat($C78:$O78,",")&amp;"),")</f>
        <v>(NULL,NULL,77,1440,252,72,72,"5","blank",NULL,NULL,0,1),</v>
      </c>
    </row>
    <row r="79" spans="1:16" x14ac:dyDescent="0.3">
      <c r="A79" s="1" t="s">
        <v>177</v>
      </c>
      <c r="B79" s="1">
        <f t="shared" si="1"/>
        <v>78</v>
      </c>
      <c r="C79" s="6" t="str">
        <f>IF(COUNTIF(PC.IT105.Inp!$C79:$L79,"")=10,"","NULL")</f>
        <v>NULL</v>
      </c>
      <c r="D79" s="6" t="str">
        <f>IF(COUNTIF(PC.IT105.Inp!$C79:$L79,"")=10,"","NULL")</f>
        <v>NULL</v>
      </c>
      <c r="E79" s="6">
        <f>IF(COUNTIF(PC.IT105.Inp!$C79:$L79,"")=10,"",$B79)</f>
        <v>78</v>
      </c>
      <c r="F79" s="6">
        <f>IF(COUNTIF(PC.IT105.Inp!$C79:$L79,"")=10,"",IF(PC.IT105.Inp!$C79="","NULL",PC.IT105.Inp!$C79))</f>
        <v>1440</v>
      </c>
      <c r="G79" s="6">
        <f>IF(COUNTIF(PC.IT105.Inp!$C79:$L79,"")=10,"",IF(PC.IT105.Inp!$D79="","NULL",PC.IT105.Inp!$D79))</f>
        <v>324</v>
      </c>
      <c r="H79" s="6">
        <f>IF(COUNTIF(PC.IT105.Inp!$C79:$L79,"")=10,"",IF(PC.IT105.Inp!$E79="","NULL",PC.IT105.Inp!$E79))</f>
        <v>72</v>
      </c>
      <c r="I79" s="6">
        <f>IF(COUNTIF(PC.IT105.Inp!$C79:$L79,"")=10,"",IF(PC.IT105.Inp!$F79="","NULL",PC.IT105.Inp!$F79))</f>
        <v>72</v>
      </c>
      <c r="J79" s="6" t="str">
        <f>IF(COUNTIF(PC.IT105.Inp!$C79:$L79,"")=10,"",IF(PC.IT105.Inp!$G79="","NULL",""""&amp;PC.IT105.Inp!$G79&amp;""""))</f>
        <v>"2"</v>
      </c>
      <c r="K79" s="6" t="str">
        <f>IF(COUNTIF(PC.IT105.Inp!$C79:$L79,"")=10,"",IF(PC.IT105.Inp!$H79="","NULL",""""&amp;PC.IT105.Inp!$H79&amp;""""))</f>
        <v>"Down"</v>
      </c>
      <c r="L79" s="6" t="str">
        <f>IF(COUNTIF(PC.IT105.Inp!$C79:$L79,"")=10,"",IF(PC.IT105.Inp!$I79="","NULL",""""&amp;PC.IT105.Inp!$I79&amp;""""))</f>
        <v>NULL</v>
      </c>
      <c r="M79" s="6" t="str">
        <f>IF(COUNTIF(PC.IT105.Inp!$C79:$L79,"")=10,"",IF(PC.IT105.Inp!$J79="","NULL",""""&amp;PC.IT105.Inp!$J79&amp;""""))</f>
        <v>NULL</v>
      </c>
      <c r="N79" s="6">
        <f>IF(COUNTIF(PC.IT105.Inp!$C79:$L79,"")=10,"",IF(PC.IT105.Inp!$K79="","NULL",PC.IT105.Inp!$K79))</f>
        <v>0</v>
      </c>
      <c r="O79" s="6">
        <f>IF(COUNTIF(PC.IT105.Inp!$C79:$L79,"")=10,"",IF(PC.IT105.Inp!$L79="","NULL",PC.IT105.Inp!$L79))</f>
        <v>1</v>
      </c>
      <c r="P79" s="7" t="str">
        <f>IF(COUNTIF(PC.TU105.Inp!$C79:$L79,"")=10,"","("&amp;aconcat($C79:$O79,",")&amp;"),")</f>
        <v>(NULL,NULL,78,1440,324,72,72,"2","Down",NULL,NULL,0,1),</v>
      </c>
    </row>
    <row r="80" spans="1:16" x14ac:dyDescent="0.3">
      <c r="A80" s="1" t="s">
        <v>172</v>
      </c>
      <c r="B80" s="1">
        <f t="shared" si="1"/>
        <v>79</v>
      </c>
      <c r="C80" s="6" t="str">
        <f>IF(COUNTIF(PC.IT105.Inp!$C80:$L80,"")=10,"","NULL")</f>
        <v>NULL</v>
      </c>
      <c r="D80" s="6" t="str">
        <f>IF(COUNTIF(PC.IT105.Inp!$C80:$L80,"")=10,"","NULL")</f>
        <v>NULL</v>
      </c>
      <c r="E80" s="6">
        <f>IF(COUNTIF(PC.IT105.Inp!$C80:$L80,"")=10,"",$B80)</f>
        <v>79</v>
      </c>
      <c r="F80" s="6">
        <f>IF(COUNTIF(PC.IT105.Inp!$C80:$L80,"")=10,"",IF(PC.IT105.Inp!$C80="","NULL",PC.IT105.Inp!$C80))</f>
        <v>1368</v>
      </c>
      <c r="G80" s="6">
        <f>IF(COUNTIF(PC.IT105.Inp!$C80:$L80,"")=10,"",IF(PC.IT105.Inp!$D80="","NULL",PC.IT105.Inp!$D80))</f>
        <v>396</v>
      </c>
      <c r="H80" s="6">
        <f>IF(COUNTIF(PC.IT105.Inp!$C80:$L80,"")=10,"",IF(PC.IT105.Inp!$E80="","NULL",PC.IT105.Inp!$E80))</f>
        <v>144</v>
      </c>
      <c r="I80" s="6">
        <f>IF(COUNTIF(PC.IT105.Inp!$C80:$L80,"")=10,"",IF(PC.IT105.Inp!$F80="","NULL",PC.IT105.Inp!$F80))</f>
        <v>72</v>
      </c>
      <c r="J80" s="6" t="str">
        <f>IF(COUNTIF(PC.IT105.Inp!$C80:$L80,"")=10,"",IF(PC.IT105.Inp!$G80="","NULL",""""&amp;PC.IT105.Inp!$G80&amp;""""))</f>
        <v>NULL</v>
      </c>
      <c r="K80" s="6" t="str">
        <f>IF(COUNTIF(PC.IT105.Inp!$C80:$L80,"")=10,"",IF(PC.IT105.Inp!$H80="","NULL",""""&amp;PC.IT105.Inp!$H80&amp;""""))</f>
        <v>"Insert"</v>
      </c>
      <c r="L80" s="6" t="str">
        <f>IF(COUNTIF(PC.IT105.Inp!$C80:$L80,"")=10,"",IF(PC.IT105.Inp!$I80="","NULL",""""&amp;PC.IT105.Inp!$I80&amp;""""))</f>
        <v>NULL</v>
      </c>
      <c r="M80" s="6" t="str">
        <f>IF(COUNTIF(PC.IT105.Inp!$C80:$L80,"")=10,"",IF(PC.IT105.Inp!$J80="","NULL",""""&amp;PC.IT105.Inp!$J80&amp;""""))</f>
        <v>NULL</v>
      </c>
      <c r="N80" s="6">
        <f>IF(COUNTIF(PC.IT105.Inp!$C80:$L80,"")=10,"",IF(PC.IT105.Inp!$K80="","NULL",PC.IT105.Inp!$K80))</f>
        <v>0</v>
      </c>
      <c r="O80" s="6">
        <f>IF(COUNTIF(PC.IT105.Inp!$C80:$L80,"")=10,"",IF(PC.IT105.Inp!$L80="","NULL",PC.IT105.Inp!$L80))</f>
        <v>1</v>
      </c>
      <c r="P80" s="7" t="str">
        <f>IF(COUNTIF(PC.TU105.Inp!$C80:$L80,"")=10,"","("&amp;aconcat($C80:$O80,",")&amp;"),")</f>
        <v>(NULL,NULL,79,1368,396,144,72,NULL,"Insert",NULL,NULL,0,1),</v>
      </c>
    </row>
    <row r="81" spans="1:16" x14ac:dyDescent="0.3">
      <c r="A81" s="1" t="s">
        <v>62</v>
      </c>
      <c r="B81" s="1">
        <f t="shared" si="1"/>
        <v>80</v>
      </c>
      <c r="C81" s="6" t="str">
        <f>IF(COUNTIF(PC.IT105.Inp!$C81:$L81,"")=10,"","NULL")</f>
        <v>NULL</v>
      </c>
      <c r="D81" s="6" t="str">
        <f>IF(COUNTIF(PC.IT105.Inp!$C81:$L81,"")=10,"","NULL")</f>
        <v>NULL</v>
      </c>
      <c r="E81" s="6">
        <f>IF(COUNTIF(PC.IT105.Inp!$C81:$L81,"")=10,"",$B81)</f>
        <v>80</v>
      </c>
      <c r="F81" s="6">
        <f>IF(COUNTIF(PC.IT105.Inp!$C81:$L81,"")=10,"",IF(PC.IT105.Inp!$C81="","NULL",PC.IT105.Inp!$C81))</f>
        <v>1512</v>
      </c>
      <c r="G81" s="6">
        <f>IF(COUNTIF(PC.IT105.Inp!$C81:$L81,"")=10,"",IF(PC.IT105.Inp!$D81="","NULL",PC.IT105.Inp!$D81))</f>
        <v>108</v>
      </c>
      <c r="H81" s="6">
        <f>IF(COUNTIF(PC.IT105.Inp!$C81:$L81,"")=10,"",IF(PC.IT105.Inp!$E81="","NULL",PC.IT105.Inp!$E81))</f>
        <v>72</v>
      </c>
      <c r="I81" s="6">
        <f>IF(COUNTIF(PC.IT105.Inp!$C81:$L81,"")=10,"",IF(PC.IT105.Inp!$F81="","NULL",PC.IT105.Inp!$F81))</f>
        <v>72</v>
      </c>
      <c r="J81" s="6" t="str">
        <f>IF(COUNTIF(PC.IT105.Inp!$C81:$L81,"")=10,"",IF(PC.IT105.Inp!$G81="","NULL",""""&amp;PC.IT105.Inp!$G81&amp;""""))</f>
        <v>NULL</v>
      </c>
      <c r="K81" s="6" t="str">
        <f>IF(COUNTIF(PC.IT105.Inp!$C81:$L81,"")=10,"",IF(PC.IT105.Inp!$H81="","NULL",""""&amp;PC.IT105.Inp!$H81&amp;""""))</f>
        <v>"*"</v>
      </c>
      <c r="L81" s="6" t="str">
        <f>IF(COUNTIF(PC.IT105.Inp!$C81:$L81,"")=10,"",IF(PC.IT105.Inp!$I81="","NULL",""""&amp;PC.IT105.Inp!$I81&amp;""""))</f>
        <v>NULL</v>
      </c>
      <c r="M81" s="6" t="str">
        <f>IF(COUNTIF(PC.IT105.Inp!$C81:$L81,"")=10,"",IF(PC.IT105.Inp!$J81="","NULL",""""&amp;PC.IT105.Inp!$J81&amp;""""))</f>
        <v>NULL</v>
      </c>
      <c r="N81" s="6">
        <f>IF(COUNTIF(PC.IT105.Inp!$C81:$L81,"")=10,"",IF(PC.IT105.Inp!$K81="","NULL",PC.IT105.Inp!$K81))</f>
        <v>0</v>
      </c>
      <c r="O81" s="6">
        <f>IF(COUNTIF(PC.IT105.Inp!$C81:$L81,"")=10,"",IF(PC.IT105.Inp!$L81="","NULL",PC.IT105.Inp!$L81))</f>
        <v>1</v>
      </c>
      <c r="P81" s="7" t="str">
        <f>IF(COUNTIF(PC.TU105.Inp!$C81:$L81,"")=10,"","("&amp;aconcat($C81:$O81,",")&amp;"),")</f>
        <v>(NULL,NULL,80,1512,108,72,72,NULL,"*",NULL,NULL,0,1),</v>
      </c>
    </row>
    <row r="82" spans="1:16" x14ac:dyDescent="0.3">
      <c r="A82" s="1" t="s">
        <v>178</v>
      </c>
      <c r="B82" s="1">
        <f t="shared" si="1"/>
        <v>81</v>
      </c>
      <c r="C82" s="6" t="str">
        <f>IF(COUNTIF(PC.IT105.Inp!$C82:$L82,"")=10,"","NULL")</f>
        <v>NULL</v>
      </c>
      <c r="D82" s="6" t="str">
        <f>IF(COUNTIF(PC.IT105.Inp!$C82:$L82,"")=10,"","NULL")</f>
        <v>NULL</v>
      </c>
      <c r="E82" s="6">
        <f>IF(COUNTIF(PC.IT105.Inp!$C82:$L82,"")=10,"",$B82)</f>
        <v>81</v>
      </c>
      <c r="F82" s="6">
        <f>IF(COUNTIF(PC.IT105.Inp!$C82:$L82,"")=10,"",IF(PC.IT105.Inp!$C82="","NULL",PC.IT105.Inp!$C82))</f>
        <v>1512</v>
      </c>
      <c r="G82" s="6">
        <f>IF(COUNTIF(PC.IT105.Inp!$C82:$L82,"")=10,"",IF(PC.IT105.Inp!$D82="","NULL",PC.IT105.Inp!$D82))</f>
        <v>180</v>
      </c>
      <c r="H82" s="6">
        <f>IF(COUNTIF(PC.IT105.Inp!$C82:$L82,"")=10,"",IF(PC.IT105.Inp!$E82="","NULL",PC.IT105.Inp!$E82))</f>
        <v>72</v>
      </c>
      <c r="I82" s="6">
        <f>IF(COUNTIF(PC.IT105.Inp!$C82:$L82,"")=10,"",IF(PC.IT105.Inp!$F82="","NULL",PC.IT105.Inp!$F82))</f>
        <v>72</v>
      </c>
      <c r="J82" s="6" t="str">
        <f>IF(COUNTIF(PC.IT105.Inp!$C82:$L82,"")=10,"",IF(PC.IT105.Inp!$G82="","NULL",""""&amp;PC.IT105.Inp!$G82&amp;""""))</f>
        <v>"9"</v>
      </c>
      <c r="K82" s="6" t="str">
        <f>IF(COUNTIF(PC.IT105.Inp!$C82:$L82,"")=10,"",IF(PC.IT105.Inp!$H82="","NULL",""""&amp;PC.IT105.Inp!$H82&amp;""""))</f>
        <v>"Page Up"</v>
      </c>
      <c r="L82" s="6" t="str">
        <f>IF(COUNTIF(PC.IT105.Inp!$C82:$L82,"")=10,"",IF(PC.IT105.Inp!$I82="","NULL",""""&amp;PC.IT105.Inp!$I82&amp;""""))</f>
        <v>NULL</v>
      </c>
      <c r="M82" s="6" t="str">
        <f>IF(COUNTIF(PC.IT105.Inp!$C82:$L82,"")=10,"",IF(PC.IT105.Inp!$J82="","NULL",""""&amp;PC.IT105.Inp!$J82&amp;""""))</f>
        <v>NULL</v>
      </c>
      <c r="N82" s="6">
        <f>IF(COUNTIF(PC.IT105.Inp!$C82:$L82,"")=10,"",IF(PC.IT105.Inp!$K82="","NULL",PC.IT105.Inp!$K82))</f>
        <v>0</v>
      </c>
      <c r="O82" s="6">
        <f>IF(COUNTIF(PC.IT105.Inp!$C82:$L82,"")=10,"",IF(PC.IT105.Inp!$L82="","NULL",PC.IT105.Inp!$L82))</f>
        <v>1</v>
      </c>
      <c r="P82" s="7" t="str">
        <f>IF(COUNTIF(PC.TU105.Inp!$C82:$L82,"")=10,"","("&amp;aconcat($C82:$O82,",")&amp;"),")</f>
        <v>(NULL,NULL,81,1512,180,72,72,"9","Page Up",NULL,NULL,0,1),</v>
      </c>
    </row>
    <row r="83" spans="1:16" x14ac:dyDescent="0.3">
      <c r="A83" s="1" t="s">
        <v>179</v>
      </c>
      <c r="B83" s="1">
        <f t="shared" si="1"/>
        <v>82</v>
      </c>
      <c r="C83" s="6" t="str">
        <f>IF(COUNTIF(PC.IT105.Inp!$C83:$L83,"")=10,"","NULL")</f>
        <v>NULL</v>
      </c>
      <c r="D83" s="6" t="str">
        <f>IF(COUNTIF(PC.IT105.Inp!$C83:$L83,"")=10,"","NULL")</f>
        <v>NULL</v>
      </c>
      <c r="E83" s="6">
        <f>IF(COUNTIF(PC.IT105.Inp!$C83:$L83,"")=10,"",$B83)</f>
        <v>82</v>
      </c>
      <c r="F83" s="6">
        <f>IF(COUNTIF(PC.IT105.Inp!$C83:$L83,"")=10,"",IF(PC.IT105.Inp!$C83="","NULL",PC.IT105.Inp!$C83))</f>
        <v>1512</v>
      </c>
      <c r="G83" s="6">
        <f>IF(COUNTIF(PC.IT105.Inp!$C83:$L83,"")=10,"",IF(PC.IT105.Inp!$D83="","NULL",PC.IT105.Inp!$D83))</f>
        <v>252</v>
      </c>
      <c r="H83" s="6">
        <f>IF(COUNTIF(PC.IT105.Inp!$C83:$L83,"")=10,"",IF(PC.IT105.Inp!$E83="","NULL",PC.IT105.Inp!$E83))</f>
        <v>72</v>
      </c>
      <c r="I83" s="6">
        <f>IF(COUNTIF(PC.IT105.Inp!$C83:$L83,"")=10,"",IF(PC.IT105.Inp!$F83="","NULL",PC.IT105.Inp!$F83))</f>
        <v>72</v>
      </c>
      <c r="J83" s="6" t="str">
        <f>IF(COUNTIF(PC.IT105.Inp!$C83:$L83,"")=10,"",IF(PC.IT105.Inp!$G83="","NULL",""""&amp;PC.IT105.Inp!$G83&amp;""""))</f>
        <v>"6"</v>
      </c>
      <c r="K83" s="6" t="str">
        <f>IF(COUNTIF(PC.IT105.Inp!$C83:$L83,"")=10,"",IF(PC.IT105.Inp!$H83="","NULL",""""&amp;PC.IT105.Inp!$H83&amp;""""))</f>
        <v>"Right"</v>
      </c>
      <c r="L83" s="6" t="str">
        <f>IF(COUNTIF(PC.IT105.Inp!$C83:$L83,"")=10,"",IF(PC.IT105.Inp!$I83="","NULL",""""&amp;PC.IT105.Inp!$I83&amp;""""))</f>
        <v>NULL</v>
      </c>
      <c r="M83" s="6" t="str">
        <f>IF(COUNTIF(PC.IT105.Inp!$C83:$L83,"")=10,"",IF(PC.IT105.Inp!$J83="","NULL",""""&amp;PC.IT105.Inp!$J83&amp;""""))</f>
        <v>NULL</v>
      </c>
      <c r="N83" s="6">
        <f>IF(COUNTIF(PC.IT105.Inp!$C83:$L83,"")=10,"",IF(PC.IT105.Inp!$K83="","NULL",PC.IT105.Inp!$K83))</f>
        <v>0</v>
      </c>
      <c r="O83" s="6">
        <f>IF(COUNTIF(PC.IT105.Inp!$C83:$L83,"")=10,"",IF(PC.IT105.Inp!$L83="","NULL",PC.IT105.Inp!$L83))</f>
        <v>1</v>
      </c>
      <c r="P83" s="7" t="str">
        <f>IF(COUNTIF(PC.TU105.Inp!$C83:$L83,"")=10,"","("&amp;aconcat($C83:$O83,",")&amp;"),")</f>
        <v>(NULL,NULL,82,1512,252,72,72,"6","Right",NULL,NULL,0,1),</v>
      </c>
    </row>
    <row r="84" spans="1:16" x14ac:dyDescent="0.3">
      <c r="A84" s="1" t="s">
        <v>182</v>
      </c>
      <c r="B84" s="1">
        <f t="shared" si="1"/>
        <v>83</v>
      </c>
      <c r="C84" s="6" t="str">
        <f>IF(COUNTIF(PC.IT105.Inp!$C84:$L84,"")=10,"","NULL")</f>
        <v>NULL</v>
      </c>
      <c r="D84" s="6" t="str">
        <f>IF(COUNTIF(PC.IT105.Inp!$C84:$L84,"")=10,"","NULL")</f>
        <v>NULL</v>
      </c>
      <c r="E84" s="6">
        <f>IF(COUNTIF(PC.IT105.Inp!$C84:$L84,"")=10,"",$B84)</f>
        <v>83</v>
      </c>
      <c r="F84" s="6">
        <f>IF(COUNTIF(PC.IT105.Inp!$C84:$L84,"")=10,"",IF(PC.IT105.Inp!$C84="","NULL",PC.IT105.Inp!$C84))</f>
        <v>1512</v>
      </c>
      <c r="G84" s="6">
        <f>IF(COUNTIF(PC.IT105.Inp!$C84:$L84,"")=10,"",IF(PC.IT105.Inp!$D84="","NULL",PC.IT105.Inp!$D84))</f>
        <v>324</v>
      </c>
      <c r="H84" s="6">
        <f>IF(COUNTIF(PC.IT105.Inp!$C84:$L84,"")=10,"",IF(PC.IT105.Inp!$E84="","NULL",PC.IT105.Inp!$E84))</f>
        <v>72</v>
      </c>
      <c r="I84" s="6">
        <f>IF(COUNTIF(PC.IT105.Inp!$C84:$L84,"")=10,"",IF(PC.IT105.Inp!$F84="","NULL",PC.IT105.Inp!$F84))</f>
        <v>72</v>
      </c>
      <c r="J84" s="6" t="str">
        <f>IF(COUNTIF(PC.IT105.Inp!$C84:$L84,"")=10,"",IF(PC.IT105.Inp!$G84="","NULL",""""&amp;PC.IT105.Inp!$G84&amp;""""))</f>
        <v>"3"</v>
      </c>
      <c r="K84" s="6" t="str">
        <f>IF(COUNTIF(PC.IT105.Inp!$C84:$L84,"")=10,"",IF(PC.IT105.Inp!$H84="","NULL",""""&amp;PC.IT105.Inp!$H84&amp;""""))</f>
        <v>"Page Dn"</v>
      </c>
      <c r="L84" s="6" t="str">
        <f>IF(COUNTIF(PC.IT105.Inp!$C84:$L84,"")=10,"",IF(PC.IT105.Inp!$I84="","NULL",""""&amp;PC.IT105.Inp!$I84&amp;""""))</f>
        <v>NULL</v>
      </c>
      <c r="M84" s="6" t="str">
        <f>IF(COUNTIF(PC.IT105.Inp!$C84:$L84,"")=10,"",IF(PC.IT105.Inp!$J84="","NULL",""""&amp;PC.IT105.Inp!$J84&amp;""""))</f>
        <v>NULL</v>
      </c>
      <c r="N84" s="6">
        <f>IF(COUNTIF(PC.IT105.Inp!$C84:$L84,"")=10,"",IF(PC.IT105.Inp!$K84="","NULL",PC.IT105.Inp!$K84))</f>
        <v>0</v>
      </c>
      <c r="O84" s="6">
        <f>IF(COUNTIF(PC.IT105.Inp!$C84:$L84,"")=10,"",IF(PC.IT105.Inp!$L84="","NULL",PC.IT105.Inp!$L84))</f>
        <v>1</v>
      </c>
      <c r="P84" s="7" t="str">
        <f>IF(COUNTIF(PC.TU105.Inp!$C84:$L84,"")=10,"","("&amp;aconcat($C84:$O84,",")&amp;"),")</f>
        <v>(NULL,NULL,83,1512,324,72,72,"3","Page Dn",NULL,NULL,0,1),</v>
      </c>
    </row>
    <row r="85" spans="1:16" x14ac:dyDescent="0.3">
      <c r="A85" s="1" t="s">
        <v>173</v>
      </c>
      <c r="B85" s="1">
        <f t="shared" si="1"/>
        <v>84</v>
      </c>
      <c r="C85" s="6" t="str">
        <f>IF(COUNTIF(PC.IT105.Inp!$C85:$L85,"")=10,"","NULL")</f>
        <v>NULL</v>
      </c>
      <c r="D85" s="6" t="str">
        <f>IF(COUNTIF(PC.IT105.Inp!$C85:$L85,"")=10,"","NULL")</f>
        <v>NULL</v>
      </c>
      <c r="E85" s="6">
        <f>IF(COUNTIF(PC.IT105.Inp!$C85:$L85,"")=10,"",$B85)</f>
        <v>84</v>
      </c>
      <c r="F85" s="6">
        <f>IF(COUNTIF(PC.IT105.Inp!$C85:$L85,"")=10,"",IF(PC.IT105.Inp!$C85="","NULL",PC.IT105.Inp!$C85))</f>
        <v>1512</v>
      </c>
      <c r="G85" s="6">
        <f>IF(COUNTIF(PC.IT105.Inp!$C85:$L85,"")=10,"",IF(PC.IT105.Inp!$D85="","NULL",PC.IT105.Inp!$D85))</f>
        <v>396</v>
      </c>
      <c r="H85" s="6">
        <f>IF(COUNTIF(PC.IT105.Inp!$C85:$L85,"")=10,"",IF(PC.IT105.Inp!$E85="","NULL",PC.IT105.Inp!$E85))</f>
        <v>72</v>
      </c>
      <c r="I85" s="6">
        <f>IF(COUNTIF(PC.IT105.Inp!$C85:$L85,"")=10,"",IF(PC.IT105.Inp!$F85="","NULL",PC.IT105.Inp!$F85))</f>
        <v>72</v>
      </c>
      <c r="J85" s="6" t="str">
        <f>IF(COUNTIF(PC.IT105.Inp!$C85:$L85,"")=10,"",IF(PC.IT105.Inp!$G85="","NULL",""""&amp;PC.IT105.Inp!$G85&amp;""""))</f>
        <v>NULL</v>
      </c>
      <c r="K85" s="6" t="str">
        <f>IF(COUNTIF(PC.IT105.Inp!$C85:$L85,"")=10,"",IF(PC.IT105.Inp!$H85="","NULL",""""&amp;PC.IT105.Inp!$H85&amp;""""))</f>
        <v>"."</v>
      </c>
      <c r="L85" s="6" t="str">
        <f>IF(COUNTIF(PC.IT105.Inp!$C85:$L85,"")=10,"",IF(PC.IT105.Inp!$I85="","NULL",""""&amp;PC.IT105.Inp!$I85&amp;""""))</f>
        <v>NULL</v>
      </c>
      <c r="M85" s="6" t="str">
        <f>IF(COUNTIF(PC.IT105.Inp!$C85:$L85,"")=10,"",IF(PC.IT105.Inp!$J85="","NULL",""""&amp;PC.IT105.Inp!$J85&amp;""""))</f>
        <v>NULL</v>
      </c>
      <c r="N85" s="6">
        <f>IF(COUNTIF(PC.IT105.Inp!$C85:$L85,"")=10,"",IF(PC.IT105.Inp!$K85="","NULL",PC.IT105.Inp!$K85))</f>
        <v>0</v>
      </c>
      <c r="O85" s="6">
        <f>IF(COUNTIF(PC.IT105.Inp!$C85:$L85,"")=10,"",IF(PC.IT105.Inp!$L85="","NULL",PC.IT105.Inp!$L85))</f>
        <v>1</v>
      </c>
      <c r="P85" s="7" t="str">
        <f>IF(COUNTIF(PC.TU105.Inp!$C85:$L85,"")=10,"","("&amp;aconcat($C85:$O85,",")&amp;"),")</f>
        <v>(NULL,NULL,84,1512,396,72,72,NULL,".",NULL,NULL,0,1),</v>
      </c>
    </row>
    <row r="86" spans="1:16" x14ac:dyDescent="0.3">
      <c r="A86" s="1" t="s">
        <v>114</v>
      </c>
      <c r="B86" s="1">
        <f t="shared" si="1"/>
        <v>85</v>
      </c>
      <c r="C86" s="6" t="str">
        <f>IF(COUNTIF(PC.IT105.Inp!$C86:$L86,"")=10,"","NULL")</f>
        <v>NULL</v>
      </c>
      <c r="D86" s="6" t="str">
        <f>IF(COUNTIF(PC.IT105.Inp!$C86:$L86,"")=10,"","NULL")</f>
        <v>NULL</v>
      </c>
      <c r="E86" s="6">
        <f>IF(COUNTIF(PC.IT105.Inp!$C86:$L86,"")=10,"",$B86)</f>
        <v>85</v>
      </c>
      <c r="F86" s="6">
        <f>IF(COUNTIF(PC.IT105.Inp!$C86:$L86,"")=10,"",IF(PC.IT105.Inp!$C86="","NULL",PC.IT105.Inp!$C86))</f>
        <v>1584</v>
      </c>
      <c r="G86" s="6">
        <f>IF(COUNTIF(PC.IT105.Inp!$C86:$L86,"")=10,"",IF(PC.IT105.Inp!$D86="","NULL",PC.IT105.Inp!$D86))</f>
        <v>108</v>
      </c>
      <c r="H86" s="6">
        <f>IF(COUNTIF(PC.IT105.Inp!$C86:$L86,"")=10,"",IF(PC.IT105.Inp!$E86="","NULL",PC.IT105.Inp!$E86))</f>
        <v>72</v>
      </c>
      <c r="I86" s="6">
        <f>IF(COUNTIF(PC.IT105.Inp!$C86:$L86,"")=10,"",IF(PC.IT105.Inp!$F86="","NULL",PC.IT105.Inp!$F86))</f>
        <v>72</v>
      </c>
      <c r="J86" s="6" t="str">
        <f>IF(COUNTIF(PC.IT105.Inp!$C86:$L86,"")=10,"",IF(PC.IT105.Inp!$G86="","NULL",""""&amp;PC.IT105.Inp!$G86&amp;""""))</f>
        <v>NULL</v>
      </c>
      <c r="K86" s="6" t="str">
        <f>IF(COUNTIF(PC.IT105.Inp!$C86:$L86,"")=10,"",IF(PC.IT105.Inp!$H86="","NULL",""""&amp;PC.IT105.Inp!$H86&amp;""""))</f>
        <v>"-"</v>
      </c>
      <c r="L86" s="6" t="str">
        <f>IF(COUNTIF(PC.IT105.Inp!$C86:$L86,"")=10,"",IF(PC.IT105.Inp!$I86="","NULL",""""&amp;PC.IT105.Inp!$I86&amp;""""))</f>
        <v>NULL</v>
      </c>
      <c r="M86" s="6" t="str">
        <f>IF(COUNTIF(PC.IT105.Inp!$C86:$L86,"")=10,"",IF(PC.IT105.Inp!$J86="","NULL",""""&amp;PC.IT105.Inp!$J86&amp;""""))</f>
        <v>NULL</v>
      </c>
      <c r="N86" s="6">
        <f>IF(COUNTIF(PC.IT105.Inp!$C86:$L86,"")=10,"",IF(PC.IT105.Inp!$K86="","NULL",PC.IT105.Inp!$K86))</f>
        <v>0</v>
      </c>
      <c r="O86" s="6">
        <f>IF(COUNTIF(PC.IT105.Inp!$C86:$L86,"")=10,"",IF(PC.IT105.Inp!$L86="","NULL",PC.IT105.Inp!$L86))</f>
        <v>1</v>
      </c>
      <c r="P86" s="7" t="str">
        <f>IF(COUNTIF(PC.TU105.Inp!$C86:$L86,"")=10,"","("&amp;aconcat($C86:$O86,",")&amp;"),")</f>
        <v>(NULL,NULL,85,1584,108,72,72,NULL,"-",NULL,NULL,0,1),</v>
      </c>
    </row>
    <row r="87" spans="1:16" x14ac:dyDescent="0.3">
      <c r="A87" s="1" t="s">
        <v>63</v>
      </c>
      <c r="B87" s="1">
        <f t="shared" si="1"/>
        <v>86</v>
      </c>
      <c r="C87" s="6" t="str">
        <f>IF(COUNTIF(PC.IT105.Inp!$C87:$L87,"")=10,"","NULL")</f>
        <v>NULL</v>
      </c>
      <c r="D87" s="6" t="str">
        <f>IF(COUNTIF(PC.IT105.Inp!$C87:$L87,"")=10,"","NULL")</f>
        <v>NULL</v>
      </c>
      <c r="E87" s="6">
        <f>IF(COUNTIF(PC.IT105.Inp!$C87:$L87,"")=10,"",$B87)</f>
        <v>86</v>
      </c>
      <c r="F87" s="6">
        <f>IF(COUNTIF(PC.IT105.Inp!$C87:$L87,"")=10,"",IF(PC.IT105.Inp!$C87="","NULL",PC.IT105.Inp!$C87))</f>
        <v>1584</v>
      </c>
      <c r="G87" s="6">
        <f>IF(COUNTIF(PC.IT105.Inp!$C87:$L87,"")=10,"",IF(PC.IT105.Inp!$D87="","NULL",PC.IT105.Inp!$D87))</f>
        <v>180</v>
      </c>
      <c r="H87" s="6">
        <f>IF(COUNTIF(PC.IT105.Inp!$C87:$L87,"")=10,"",IF(PC.IT105.Inp!$E87="","NULL",PC.IT105.Inp!$E87))</f>
        <v>72</v>
      </c>
      <c r="I87" s="6">
        <f>IF(COUNTIF(PC.IT105.Inp!$C87:$L87,"")=10,"",IF(PC.IT105.Inp!$F87="","NULL",PC.IT105.Inp!$F87))</f>
        <v>144</v>
      </c>
      <c r="J87" s="6" t="str">
        <f>IF(COUNTIF(PC.IT105.Inp!$C87:$L87,"")=10,"",IF(PC.IT105.Inp!$G87="","NULL",""""&amp;PC.IT105.Inp!$G87&amp;""""))</f>
        <v>NULL</v>
      </c>
      <c r="K87" s="6" t="str">
        <f>IF(COUNTIF(PC.IT105.Inp!$C87:$L87,"")=10,"",IF(PC.IT105.Inp!$H87="","NULL",""""&amp;PC.IT105.Inp!$H87&amp;""""))</f>
        <v>"+"</v>
      </c>
      <c r="L87" s="6" t="str">
        <f>IF(COUNTIF(PC.IT105.Inp!$C87:$L87,"")=10,"",IF(PC.IT105.Inp!$I87="","NULL",""""&amp;PC.IT105.Inp!$I87&amp;""""))</f>
        <v>NULL</v>
      </c>
      <c r="M87" s="6" t="str">
        <f>IF(COUNTIF(PC.IT105.Inp!$C87:$L87,"")=10,"",IF(PC.IT105.Inp!$J87="","NULL",""""&amp;PC.IT105.Inp!$J87&amp;""""))</f>
        <v>NULL</v>
      </c>
      <c r="N87" s="6">
        <f>IF(COUNTIF(PC.IT105.Inp!$C87:$L87,"")=10,"",IF(PC.IT105.Inp!$K87="","NULL",PC.IT105.Inp!$K87))</f>
        <v>0</v>
      </c>
      <c r="O87" s="6">
        <f>IF(COUNTIF(PC.IT105.Inp!$C87:$L87,"")=10,"",IF(PC.IT105.Inp!$L87="","NULL",PC.IT105.Inp!$L87))</f>
        <v>1</v>
      </c>
      <c r="P87" s="7" t="str">
        <f>IF(COUNTIF(PC.TU105.Inp!$C87:$L87,"")=10,"","("&amp;aconcat($C87:$O87,",")&amp;"),")</f>
        <v>(NULL,NULL,86,1584,180,72,144,NULL,"+",NULL,NULL,0,1),</v>
      </c>
    </row>
    <row r="88" spans="1:16" x14ac:dyDescent="0.3">
      <c r="A88" s="1" t="s">
        <v>167</v>
      </c>
      <c r="B88" s="1">
        <f t="shared" si="1"/>
        <v>87</v>
      </c>
      <c r="C88" s="6" t="str">
        <f>IF(COUNTIF(PC.IT105.Inp!$C88:$L88,"")=10,"","NULL")</f>
        <v>NULL</v>
      </c>
      <c r="D88" s="6" t="str">
        <f>IF(COUNTIF(PC.IT105.Inp!$C88:$L88,"")=10,"","NULL")</f>
        <v>NULL</v>
      </c>
      <c r="E88" s="6">
        <f>IF(COUNTIF(PC.IT105.Inp!$C88:$L88,"")=10,"",$B88)</f>
        <v>87</v>
      </c>
      <c r="F88" s="6">
        <f>IF(COUNTIF(PC.IT105.Inp!$C88:$L88,"")=10,"",IF(PC.IT105.Inp!$C88="","NULL",PC.IT105.Inp!$C88))</f>
        <v>1584</v>
      </c>
      <c r="G88" s="6">
        <f>IF(COUNTIF(PC.IT105.Inp!$C88:$L88,"")=10,"",IF(PC.IT105.Inp!$D88="","NULL",PC.IT105.Inp!$D88))</f>
        <v>324</v>
      </c>
      <c r="H88" s="6">
        <f>IF(COUNTIF(PC.IT105.Inp!$C88:$L88,"")=10,"",IF(PC.IT105.Inp!$E88="","NULL",PC.IT105.Inp!$E88))</f>
        <v>72</v>
      </c>
      <c r="I88" s="6">
        <f>IF(COUNTIF(PC.IT105.Inp!$C88:$L88,"")=10,"",IF(PC.IT105.Inp!$F88="","NULL",PC.IT105.Inp!$F88))</f>
        <v>144</v>
      </c>
      <c r="J88" s="6" t="str">
        <f>IF(COUNTIF(PC.IT105.Inp!$C88:$L88,"")=10,"",IF(PC.IT105.Inp!$G88="","NULL",""""&amp;PC.IT105.Inp!$G88&amp;""""))</f>
        <v>NULL</v>
      </c>
      <c r="K88" s="6" t="str">
        <f>IF(COUNTIF(PC.IT105.Inp!$C88:$L88,"")=10,"",IF(PC.IT105.Inp!$H88="","NULL",""""&amp;PC.IT105.Inp!$H88&amp;""""))</f>
        <v>"Enter"</v>
      </c>
      <c r="L88" s="6" t="str">
        <f>IF(COUNTIF(PC.IT105.Inp!$C88:$L88,"")=10,"",IF(PC.IT105.Inp!$I88="","NULL",""""&amp;PC.IT105.Inp!$I88&amp;""""))</f>
        <v>NULL</v>
      </c>
      <c r="M88" s="6" t="str">
        <f>IF(COUNTIF(PC.IT105.Inp!$C88:$L88,"")=10,"",IF(PC.IT105.Inp!$J88="","NULL",""""&amp;PC.IT105.Inp!$J88&amp;""""))</f>
        <v>NULL</v>
      </c>
      <c r="N88" s="6">
        <f>IF(COUNTIF(PC.IT105.Inp!$C88:$L88,"")=10,"",IF(PC.IT105.Inp!$K88="","NULL",PC.IT105.Inp!$K88))</f>
        <v>0</v>
      </c>
      <c r="O88" s="6">
        <f>IF(COUNTIF(PC.IT105.Inp!$C88:$L88,"")=10,"",IF(PC.IT105.Inp!$L88="","NULL",PC.IT105.Inp!$L88))</f>
        <v>1</v>
      </c>
      <c r="P88" s="7" t="str">
        <f>IF(COUNTIF(PC.TU105.Inp!$C88:$L88,"")=10,"","("&amp;aconcat($C88:$O88,",")&amp;"),")</f>
        <v>(NULL,NULL,87,1584,324,72,144,NULL,"Enter",NULL,NULL,0,1),</v>
      </c>
    </row>
    <row r="89" spans="1:16" x14ac:dyDescent="0.3">
      <c r="A89" s="1" t="s">
        <v>134</v>
      </c>
      <c r="B89" s="1">
        <f t="shared" si="1"/>
        <v>88</v>
      </c>
      <c r="C89" s="6" t="str">
        <f>IF(COUNTIF(PC.IT105.Inp!$C89:$L89,"")=10,"","NULL")</f>
        <v>NULL</v>
      </c>
      <c r="D89" s="6" t="str">
        <f>IF(COUNTIF(PC.IT105.Inp!$C89:$L89,"")=10,"","NULL")</f>
        <v>NULL</v>
      </c>
      <c r="E89" s="6">
        <f>IF(COUNTIF(PC.IT105.Inp!$C89:$L89,"")=10,"",$B89)</f>
        <v>88</v>
      </c>
      <c r="F89" s="6">
        <f>IF(COUNTIF(PC.IT105.Inp!$C89:$L89,"")=10,"",IF(PC.IT105.Inp!$C89="","NULL",PC.IT105.Inp!$C89))</f>
        <v>0</v>
      </c>
      <c r="G89" s="6">
        <f>IF(COUNTIF(PC.IT105.Inp!$C89:$L89,"")=10,"",IF(PC.IT105.Inp!$D89="","NULL",PC.IT105.Inp!$D89))</f>
        <v>0</v>
      </c>
      <c r="H89" s="6">
        <f>IF(COUNTIF(PC.IT105.Inp!$C89:$L89,"")=10,"",IF(PC.IT105.Inp!$E89="","NULL",PC.IT105.Inp!$E89))</f>
        <v>72</v>
      </c>
      <c r="I89" s="6">
        <f>IF(COUNTIF(PC.IT105.Inp!$C89:$L89,"")=10,"",IF(PC.IT105.Inp!$F89="","NULL",PC.IT105.Inp!$F89))</f>
        <v>72</v>
      </c>
      <c r="J89" s="6" t="str">
        <f>IF(COUNTIF(PC.IT105.Inp!$C89:$L89,"")=10,"",IF(PC.IT105.Inp!$G89="","NULL",""""&amp;PC.IT105.Inp!$G89&amp;""""))</f>
        <v>NULL</v>
      </c>
      <c r="K89" s="6" t="str">
        <f>IF(COUNTIF(PC.IT105.Inp!$C89:$L89,"")=10,"",IF(PC.IT105.Inp!$H89="","NULL",""""&amp;PC.IT105.Inp!$H89&amp;""""))</f>
        <v>"Esc"</v>
      </c>
      <c r="L89" s="6" t="str">
        <f>IF(COUNTIF(PC.IT105.Inp!$C89:$L89,"")=10,"",IF(PC.IT105.Inp!$I89="","NULL",""""&amp;PC.IT105.Inp!$I89&amp;""""))</f>
        <v>NULL</v>
      </c>
      <c r="M89" s="6" t="str">
        <f>IF(COUNTIF(PC.IT105.Inp!$C89:$L89,"")=10,"",IF(PC.IT105.Inp!$J89="","NULL",""""&amp;PC.IT105.Inp!$J89&amp;""""))</f>
        <v>NULL</v>
      </c>
      <c r="N89" s="6">
        <f>IF(COUNTIF(PC.IT105.Inp!$C89:$L89,"")=10,"",IF(PC.IT105.Inp!$K89="","NULL",PC.IT105.Inp!$K89))</f>
        <v>0</v>
      </c>
      <c r="O89" s="6">
        <f>IF(COUNTIF(PC.IT105.Inp!$C89:$L89,"")=10,"",IF(PC.IT105.Inp!$L89="","NULL",PC.IT105.Inp!$L89))</f>
        <v>0</v>
      </c>
      <c r="P89" s="7" t="str">
        <f>IF(COUNTIF(PC.TU105.Inp!$C89:$L89,"")=10,"","("&amp;aconcat($C89:$O89,",")&amp;"),")</f>
        <v>(NULL,NULL,88,0,0,72,72,NULL,"Esc",NULL,NULL,0,0),</v>
      </c>
    </row>
    <row r="90" spans="1:16" x14ac:dyDescent="0.3">
      <c r="A90" s="1" t="s">
        <v>135</v>
      </c>
      <c r="B90" s="1">
        <f t="shared" si="1"/>
        <v>89</v>
      </c>
      <c r="C90" s="6" t="str">
        <f>IF(COUNTIF(PC.IT105.Inp!$C90:$L90,"")=10,"","NULL")</f>
        <v>NULL</v>
      </c>
      <c r="D90" s="6" t="str">
        <f>IF(COUNTIF(PC.IT105.Inp!$C90:$L90,"")=10,"","NULL")</f>
        <v>NULL</v>
      </c>
      <c r="E90" s="6">
        <f>IF(COUNTIF(PC.IT105.Inp!$C90:$L90,"")=10,"",$B90)</f>
        <v>89</v>
      </c>
      <c r="F90" s="6">
        <f>IF(COUNTIF(PC.IT105.Inp!$C90:$L90,"")=10,"",IF(PC.IT105.Inp!$C90="","NULL",PC.IT105.Inp!$C90))</f>
        <v>144</v>
      </c>
      <c r="G90" s="6">
        <f>IF(COUNTIF(PC.IT105.Inp!$C90:$L90,"")=10,"",IF(PC.IT105.Inp!$D90="","NULL",PC.IT105.Inp!$D90))</f>
        <v>0</v>
      </c>
      <c r="H90" s="6">
        <f>IF(COUNTIF(PC.IT105.Inp!$C90:$L90,"")=10,"",IF(PC.IT105.Inp!$E90="","NULL",PC.IT105.Inp!$E90))</f>
        <v>72</v>
      </c>
      <c r="I90" s="6">
        <f>IF(COUNTIF(PC.IT105.Inp!$C90:$L90,"")=10,"",IF(PC.IT105.Inp!$F90="","NULL",PC.IT105.Inp!$F90))</f>
        <v>72</v>
      </c>
      <c r="J90" s="6" t="str">
        <f>IF(COUNTIF(PC.IT105.Inp!$C90:$L90,"")=10,"",IF(PC.IT105.Inp!$G90="","NULL",""""&amp;PC.IT105.Inp!$G90&amp;""""))</f>
        <v>NULL</v>
      </c>
      <c r="K90" s="6" t="str">
        <f>IF(COUNTIF(PC.IT105.Inp!$C90:$L90,"")=10,"",IF(PC.IT105.Inp!$H90="","NULL",""""&amp;PC.IT105.Inp!$H90&amp;""""))</f>
        <v>"F1"</v>
      </c>
      <c r="L90" s="6" t="str">
        <f>IF(COUNTIF(PC.IT105.Inp!$C90:$L90,"")=10,"",IF(PC.IT105.Inp!$I90="","NULL",""""&amp;PC.IT105.Inp!$I90&amp;""""))</f>
        <v>NULL</v>
      </c>
      <c r="M90" s="6" t="str">
        <f>IF(COUNTIF(PC.IT105.Inp!$C90:$L90,"")=10,"",IF(PC.IT105.Inp!$J90="","NULL",""""&amp;PC.IT105.Inp!$J90&amp;""""))</f>
        <v>NULL</v>
      </c>
      <c r="N90" s="6">
        <f>IF(COUNTIF(PC.IT105.Inp!$C90:$L90,"")=10,"",IF(PC.IT105.Inp!$K90="","NULL",PC.IT105.Inp!$K90))</f>
        <v>0</v>
      </c>
      <c r="O90" s="6">
        <f>IF(COUNTIF(PC.IT105.Inp!$C90:$L90,"")=10,"",IF(PC.IT105.Inp!$L90="","NULL",PC.IT105.Inp!$L90))</f>
        <v>0</v>
      </c>
      <c r="P90" s="7" t="str">
        <f>IF(COUNTIF(PC.TU105.Inp!$C90:$L90,"")=10,"","("&amp;aconcat($C90:$O90,",")&amp;"),")</f>
        <v>(NULL,NULL,89,144,0,72,72,NULL,"F1",NULL,NULL,0,0),</v>
      </c>
    </row>
    <row r="91" spans="1:16" x14ac:dyDescent="0.3">
      <c r="A91" s="1" t="s">
        <v>136</v>
      </c>
      <c r="B91" s="1">
        <f t="shared" si="1"/>
        <v>90</v>
      </c>
      <c r="C91" s="6" t="str">
        <f>IF(COUNTIF(PC.IT105.Inp!$C91:$L91,"")=10,"","NULL")</f>
        <v>NULL</v>
      </c>
      <c r="D91" s="6" t="str">
        <f>IF(COUNTIF(PC.IT105.Inp!$C91:$L91,"")=10,"","NULL")</f>
        <v>NULL</v>
      </c>
      <c r="E91" s="6">
        <f>IF(COUNTIF(PC.IT105.Inp!$C91:$L91,"")=10,"",$B91)</f>
        <v>90</v>
      </c>
      <c r="F91" s="6">
        <f>IF(COUNTIF(PC.IT105.Inp!$C91:$L91,"")=10,"",IF(PC.IT105.Inp!$C91="","NULL",PC.IT105.Inp!$C91))</f>
        <v>216</v>
      </c>
      <c r="G91" s="6">
        <f>IF(COUNTIF(PC.IT105.Inp!$C91:$L91,"")=10,"",IF(PC.IT105.Inp!$D91="","NULL",PC.IT105.Inp!$D91))</f>
        <v>0</v>
      </c>
      <c r="H91" s="6">
        <f>IF(COUNTIF(PC.IT105.Inp!$C91:$L91,"")=10,"",IF(PC.IT105.Inp!$E91="","NULL",PC.IT105.Inp!$E91))</f>
        <v>72</v>
      </c>
      <c r="I91" s="6">
        <f>IF(COUNTIF(PC.IT105.Inp!$C91:$L91,"")=10,"",IF(PC.IT105.Inp!$F91="","NULL",PC.IT105.Inp!$F91))</f>
        <v>72</v>
      </c>
      <c r="J91" s="6" t="str">
        <f>IF(COUNTIF(PC.IT105.Inp!$C91:$L91,"")=10,"",IF(PC.IT105.Inp!$G91="","NULL",""""&amp;PC.IT105.Inp!$G91&amp;""""))</f>
        <v>NULL</v>
      </c>
      <c r="K91" s="6" t="str">
        <f>IF(COUNTIF(PC.IT105.Inp!$C91:$L91,"")=10,"",IF(PC.IT105.Inp!$H91="","NULL",""""&amp;PC.IT105.Inp!$H91&amp;""""))</f>
        <v>"F2"</v>
      </c>
      <c r="L91" s="6" t="str">
        <f>IF(COUNTIF(PC.IT105.Inp!$C91:$L91,"")=10,"",IF(PC.IT105.Inp!$I91="","NULL",""""&amp;PC.IT105.Inp!$I91&amp;""""))</f>
        <v>NULL</v>
      </c>
      <c r="M91" s="6" t="str">
        <f>IF(COUNTIF(PC.IT105.Inp!$C91:$L91,"")=10,"",IF(PC.IT105.Inp!$J91="","NULL",""""&amp;PC.IT105.Inp!$J91&amp;""""))</f>
        <v>NULL</v>
      </c>
      <c r="N91" s="6">
        <f>IF(COUNTIF(PC.IT105.Inp!$C91:$L91,"")=10,"",IF(PC.IT105.Inp!$K91="","NULL",PC.IT105.Inp!$K91))</f>
        <v>0</v>
      </c>
      <c r="O91" s="6">
        <f>IF(COUNTIF(PC.IT105.Inp!$C91:$L91,"")=10,"",IF(PC.IT105.Inp!$L91="","NULL",PC.IT105.Inp!$L91))</f>
        <v>0</v>
      </c>
      <c r="P91" s="7" t="str">
        <f>IF(COUNTIF(PC.TU105.Inp!$C91:$L91,"")=10,"","("&amp;aconcat($C91:$O91,",")&amp;"),")</f>
        <v>(NULL,NULL,90,216,0,72,72,NULL,"F2",NULL,NULL,0,0),</v>
      </c>
    </row>
    <row r="92" spans="1:16" x14ac:dyDescent="0.3">
      <c r="A92" s="1" t="s">
        <v>137</v>
      </c>
      <c r="B92" s="1">
        <f t="shared" si="1"/>
        <v>91</v>
      </c>
      <c r="C92" s="6" t="str">
        <f>IF(COUNTIF(PC.IT105.Inp!$C92:$L92,"")=10,"","NULL")</f>
        <v>NULL</v>
      </c>
      <c r="D92" s="6" t="str">
        <f>IF(COUNTIF(PC.IT105.Inp!$C92:$L92,"")=10,"","NULL")</f>
        <v>NULL</v>
      </c>
      <c r="E92" s="6">
        <f>IF(COUNTIF(PC.IT105.Inp!$C92:$L92,"")=10,"",$B92)</f>
        <v>91</v>
      </c>
      <c r="F92" s="6">
        <f>IF(COUNTIF(PC.IT105.Inp!$C92:$L92,"")=10,"",IF(PC.IT105.Inp!$C92="","NULL",PC.IT105.Inp!$C92))</f>
        <v>288</v>
      </c>
      <c r="G92" s="6">
        <f>IF(COUNTIF(PC.IT105.Inp!$C92:$L92,"")=10,"",IF(PC.IT105.Inp!$D92="","NULL",PC.IT105.Inp!$D92))</f>
        <v>0</v>
      </c>
      <c r="H92" s="6">
        <f>IF(COUNTIF(PC.IT105.Inp!$C92:$L92,"")=10,"",IF(PC.IT105.Inp!$E92="","NULL",PC.IT105.Inp!$E92))</f>
        <v>72</v>
      </c>
      <c r="I92" s="6">
        <f>IF(COUNTIF(PC.IT105.Inp!$C92:$L92,"")=10,"",IF(PC.IT105.Inp!$F92="","NULL",PC.IT105.Inp!$F92))</f>
        <v>72</v>
      </c>
      <c r="J92" s="6" t="str">
        <f>IF(COUNTIF(PC.IT105.Inp!$C92:$L92,"")=10,"",IF(PC.IT105.Inp!$G92="","NULL",""""&amp;PC.IT105.Inp!$G92&amp;""""))</f>
        <v>NULL</v>
      </c>
      <c r="K92" s="6" t="str">
        <f>IF(COUNTIF(PC.IT105.Inp!$C92:$L92,"")=10,"",IF(PC.IT105.Inp!$H92="","NULL",""""&amp;PC.IT105.Inp!$H92&amp;""""))</f>
        <v>"F3"</v>
      </c>
      <c r="L92" s="6" t="str">
        <f>IF(COUNTIF(PC.IT105.Inp!$C92:$L92,"")=10,"",IF(PC.IT105.Inp!$I92="","NULL",""""&amp;PC.IT105.Inp!$I92&amp;""""))</f>
        <v>NULL</v>
      </c>
      <c r="M92" s="6" t="str">
        <f>IF(COUNTIF(PC.IT105.Inp!$C92:$L92,"")=10,"",IF(PC.IT105.Inp!$J92="","NULL",""""&amp;PC.IT105.Inp!$J92&amp;""""))</f>
        <v>NULL</v>
      </c>
      <c r="N92" s="6">
        <f>IF(COUNTIF(PC.IT105.Inp!$C92:$L92,"")=10,"",IF(PC.IT105.Inp!$K92="","NULL",PC.IT105.Inp!$K92))</f>
        <v>0</v>
      </c>
      <c r="O92" s="6">
        <f>IF(COUNTIF(PC.IT105.Inp!$C92:$L92,"")=10,"",IF(PC.IT105.Inp!$L92="","NULL",PC.IT105.Inp!$L92))</f>
        <v>0</v>
      </c>
      <c r="P92" s="7" t="str">
        <f>IF(COUNTIF(PC.TU105.Inp!$C92:$L92,"")=10,"","("&amp;aconcat($C92:$O92,",")&amp;"),")</f>
        <v>(NULL,NULL,91,288,0,72,72,NULL,"F3",NULL,NULL,0,0),</v>
      </c>
    </row>
    <row r="93" spans="1:16" x14ac:dyDescent="0.3">
      <c r="A93" s="1" t="s">
        <v>138</v>
      </c>
      <c r="B93" s="1">
        <f t="shared" si="1"/>
        <v>92</v>
      </c>
      <c r="C93" s="6" t="str">
        <f>IF(COUNTIF(PC.IT105.Inp!$C93:$L93,"")=10,"","NULL")</f>
        <v>NULL</v>
      </c>
      <c r="D93" s="6" t="str">
        <f>IF(COUNTIF(PC.IT105.Inp!$C93:$L93,"")=10,"","NULL")</f>
        <v>NULL</v>
      </c>
      <c r="E93" s="6">
        <f>IF(COUNTIF(PC.IT105.Inp!$C93:$L93,"")=10,"",$B93)</f>
        <v>92</v>
      </c>
      <c r="F93" s="6">
        <f>IF(COUNTIF(PC.IT105.Inp!$C93:$L93,"")=10,"",IF(PC.IT105.Inp!$C93="","NULL",PC.IT105.Inp!$C93))</f>
        <v>360</v>
      </c>
      <c r="G93" s="6">
        <f>IF(COUNTIF(PC.IT105.Inp!$C93:$L93,"")=10,"",IF(PC.IT105.Inp!$D93="","NULL",PC.IT105.Inp!$D93))</f>
        <v>0</v>
      </c>
      <c r="H93" s="6">
        <f>IF(COUNTIF(PC.IT105.Inp!$C93:$L93,"")=10,"",IF(PC.IT105.Inp!$E93="","NULL",PC.IT105.Inp!$E93))</f>
        <v>72</v>
      </c>
      <c r="I93" s="6">
        <f>IF(COUNTIF(PC.IT105.Inp!$C93:$L93,"")=10,"",IF(PC.IT105.Inp!$F93="","NULL",PC.IT105.Inp!$F93))</f>
        <v>72</v>
      </c>
      <c r="J93" s="6" t="str">
        <f>IF(COUNTIF(PC.IT105.Inp!$C93:$L93,"")=10,"",IF(PC.IT105.Inp!$G93="","NULL",""""&amp;PC.IT105.Inp!$G93&amp;""""))</f>
        <v>NULL</v>
      </c>
      <c r="K93" s="6" t="str">
        <f>IF(COUNTIF(PC.IT105.Inp!$C93:$L93,"")=10,"",IF(PC.IT105.Inp!$H93="","NULL",""""&amp;PC.IT105.Inp!$H93&amp;""""))</f>
        <v>"F4"</v>
      </c>
      <c r="L93" s="6" t="str">
        <f>IF(COUNTIF(PC.IT105.Inp!$C93:$L93,"")=10,"",IF(PC.IT105.Inp!$I93="","NULL",""""&amp;PC.IT105.Inp!$I93&amp;""""))</f>
        <v>NULL</v>
      </c>
      <c r="M93" s="6" t="str">
        <f>IF(COUNTIF(PC.IT105.Inp!$C93:$L93,"")=10,"",IF(PC.IT105.Inp!$J93="","NULL",""""&amp;PC.IT105.Inp!$J93&amp;""""))</f>
        <v>NULL</v>
      </c>
      <c r="N93" s="6">
        <f>IF(COUNTIF(PC.IT105.Inp!$C93:$L93,"")=10,"",IF(PC.IT105.Inp!$K93="","NULL",PC.IT105.Inp!$K93))</f>
        <v>0</v>
      </c>
      <c r="O93" s="6">
        <f>IF(COUNTIF(PC.IT105.Inp!$C93:$L93,"")=10,"",IF(PC.IT105.Inp!$L93="","NULL",PC.IT105.Inp!$L93))</f>
        <v>0</v>
      </c>
      <c r="P93" s="7" t="str">
        <f>IF(COUNTIF(PC.TU105.Inp!$C93:$L93,"")=10,"","("&amp;aconcat($C93:$O93,",")&amp;"),")</f>
        <v>(NULL,NULL,92,360,0,72,72,NULL,"F4",NULL,NULL,0,0),</v>
      </c>
    </row>
    <row r="94" spans="1:16" x14ac:dyDescent="0.3">
      <c r="A94" s="1" t="s">
        <v>139</v>
      </c>
      <c r="B94" s="1">
        <f t="shared" si="1"/>
        <v>93</v>
      </c>
      <c r="C94" s="6" t="str">
        <f>IF(COUNTIF(PC.IT105.Inp!$C94:$L94,"")=10,"","NULL")</f>
        <v>NULL</v>
      </c>
      <c r="D94" s="6" t="str">
        <f>IF(COUNTIF(PC.IT105.Inp!$C94:$L94,"")=10,"","NULL")</f>
        <v>NULL</v>
      </c>
      <c r="E94" s="6">
        <f>IF(COUNTIF(PC.IT105.Inp!$C94:$L94,"")=10,"",$B94)</f>
        <v>93</v>
      </c>
      <c r="F94" s="6">
        <f>IF(COUNTIF(PC.IT105.Inp!$C94:$L94,"")=10,"",IF(PC.IT105.Inp!$C94="","NULL",PC.IT105.Inp!$C94))</f>
        <v>468</v>
      </c>
      <c r="G94" s="6">
        <f>IF(COUNTIF(PC.IT105.Inp!$C94:$L94,"")=10,"",IF(PC.IT105.Inp!$D94="","NULL",PC.IT105.Inp!$D94))</f>
        <v>0</v>
      </c>
      <c r="H94" s="6">
        <f>IF(COUNTIF(PC.IT105.Inp!$C94:$L94,"")=10,"",IF(PC.IT105.Inp!$E94="","NULL",PC.IT105.Inp!$E94))</f>
        <v>72</v>
      </c>
      <c r="I94" s="6">
        <f>IF(COUNTIF(PC.IT105.Inp!$C94:$L94,"")=10,"",IF(PC.IT105.Inp!$F94="","NULL",PC.IT105.Inp!$F94))</f>
        <v>72</v>
      </c>
      <c r="J94" s="6" t="str">
        <f>IF(COUNTIF(PC.IT105.Inp!$C94:$L94,"")=10,"",IF(PC.IT105.Inp!$G94="","NULL",""""&amp;PC.IT105.Inp!$G94&amp;""""))</f>
        <v>NULL</v>
      </c>
      <c r="K94" s="6" t="str">
        <f>IF(COUNTIF(PC.IT105.Inp!$C94:$L94,"")=10,"",IF(PC.IT105.Inp!$H94="","NULL",""""&amp;PC.IT105.Inp!$H94&amp;""""))</f>
        <v>"F5"</v>
      </c>
      <c r="L94" s="6" t="str">
        <f>IF(COUNTIF(PC.IT105.Inp!$C94:$L94,"")=10,"",IF(PC.IT105.Inp!$I94="","NULL",""""&amp;PC.IT105.Inp!$I94&amp;""""))</f>
        <v>NULL</v>
      </c>
      <c r="M94" s="6" t="str">
        <f>IF(COUNTIF(PC.IT105.Inp!$C94:$L94,"")=10,"",IF(PC.IT105.Inp!$J94="","NULL",""""&amp;PC.IT105.Inp!$J94&amp;""""))</f>
        <v>NULL</v>
      </c>
      <c r="N94" s="6">
        <f>IF(COUNTIF(PC.IT105.Inp!$C94:$L94,"")=10,"",IF(PC.IT105.Inp!$K94="","NULL",PC.IT105.Inp!$K94))</f>
        <v>0</v>
      </c>
      <c r="O94" s="6">
        <f>IF(COUNTIF(PC.IT105.Inp!$C94:$L94,"")=10,"",IF(PC.IT105.Inp!$L94="","NULL",PC.IT105.Inp!$L94))</f>
        <v>0</v>
      </c>
      <c r="P94" s="7" t="str">
        <f>IF(COUNTIF(PC.TU105.Inp!$C94:$L94,"")=10,"","("&amp;aconcat($C94:$O94,",")&amp;"),")</f>
        <v>(NULL,NULL,93,468,0,72,72,NULL,"F5",NULL,NULL,0,0),</v>
      </c>
    </row>
    <row r="95" spans="1:16" x14ac:dyDescent="0.3">
      <c r="A95" s="1" t="s">
        <v>140</v>
      </c>
      <c r="B95" s="1">
        <f t="shared" si="1"/>
        <v>94</v>
      </c>
      <c r="C95" s="6" t="str">
        <f>IF(COUNTIF(PC.IT105.Inp!$C95:$L95,"")=10,"","NULL")</f>
        <v>NULL</v>
      </c>
      <c r="D95" s="6" t="str">
        <f>IF(COUNTIF(PC.IT105.Inp!$C95:$L95,"")=10,"","NULL")</f>
        <v>NULL</v>
      </c>
      <c r="E95" s="6">
        <f>IF(COUNTIF(PC.IT105.Inp!$C95:$L95,"")=10,"",$B95)</f>
        <v>94</v>
      </c>
      <c r="F95" s="6">
        <f>IF(COUNTIF(PC.IT105.Inp!$C95:$L95,"")=10,"",IF(PC.IT105.Inp!$C95="","NULL",PC.IT105.Inp!$C95))</f>
        <v>540</v>
      </c>
      <c r="G95" s="6">
        <f>IF(COUNTIF(PC.IT105.Inp!$C95:$L95,"")=10,"",IF(PC.IT105.Inp!$D95="","NULL",PC.IT105.Inp!$D95))</f>
        <v>0</v>
      </c>
      <c r="H95" s="6">
        <f>IF(COUNTIF(PC.IT105.Inp!$C95:$L95,"")=10,"",IF(PC.IT105.Inp!$E95="","NULL",PC.IT105.Inp!$E95))</f>
        <v>72</v>
      </c>
      <c r="I95" s="6">
        <f>IF(COUNTIF(PC.IT105.Inp!$C95:$L95,"")=10,"",IF(PC.IT105.Inp!$F95="","NULL",PC.IT105.Inp!$F95))</f>
        <v>72</v>
      </c>
      <c r="J95" s="6" t="str">
        <f>IF(COUNTIF(PC.IT105.Inp!$C95:$L95,"")=10,"",IF(PC.IT105.Inp!$G95="","NULL",""""&amp;PC.IT105.Inp!$G95&amp;""""))</f>
        <v>NULL</v>
      </c>
      <c r="K95" s="6" t="str">
        <f>IF(COUNTIF(PC.IT105.Inp!$C95:$L95,"")=10,"",IF(PC.IT105.Inp!$H95="","NULL",""""&amp;PC.IT105.Inp!$H95&amp;""""))</f>
        <v>"F6"</v>
      </c>
      <c r="L95" s="6" t="str">
        <f>IF(COUNTIF(PC.IT105.Inp!$C95:$L95,"")=10,"",IF(PC.IT105.Inp!$I95="","NULL",""""&amp;PC.IT105.Inp!$I95&amp;""""))</f>
        <v>NULL</v>
      </c>
      <c r="M95" s="6" t="str">
        <f>IF(COUNTIF(PC.IT105.Inp!$C95:$L95,"")=10,"",IF(PC.IT105.Inp!$J95="","NULL",""""&amp;PC.IT105.Inp!$J95&amp;""""))</f>
        <v>NULL</v>
      </c>
      <c r="N95" s="6">
        <f>IF(COUNTIF(PC.IT105.Inp!$C95:$L95,"")=10,"",IF(PC.IT105.Inp!$K95="","NULL",PC.IT105.Inp!$K95))</f>
        <v>0</v>
      </c>
      <c r="O95" s="6">
        <f>IF(COUNTIF(PC.IT105.Inp!$C95:$L95,"")=10,"",IF(PC.IT105.Inp!$L95="","NULL",PC.IT105.Inp!$L95))</f>
        <v>0</v>
      </c>
      <c r="P95" s="7" t="str">
        <f>IF(COUNTIF(PC.TU105.Inp!$C95:$L95,"")=10,"","("&amp;aconcat($C95:$O95,",")&amp;"),")</f>
        <v>(NULL,NULL,94,540,0,72,72,NULL,"F6",NULL,NULL,0,0),</v>
      </c>
    </row>
    <row r="96" spans="1:16" x14ac:dyDescent="0.3">
      <c r="A96" s="1" t="s">
        <v>141</v>
      </c>
      <c r="B96" s="1">
        <f t="shared" si="1"/>
        <v>95</v>
      </c>
      <c r="C96" s="6" t="str">
        <f>IF(COUNTIF(PC.IT105.Inp!$C96:$L96,"")=10,"","NULL")</f>
        <v>NULL</v>
      </c>
      <c r="D96" s="6" t="str">
        <f>IF(COUNTIF(PC.IT105.Inp!$C96:$L96,"")=10,"","NULL")</f>
        <v>NULL</v>
      </c>
      <c r="E96" s="6">
        <f>IF(COUNTIF(PC.IT105.Inp!$C96:$L96,"")=10,"",$B96)</f>
        <v>95</v>
      </c>
      <c r="F96" s="6">
        <f>IF(COUNTIF(PC.IT105.Inp!$C96:$L96,"")=10,"",IF(PC.IT105.Inp!$C96="","NULL",PC.IT105.Inp!$C96))</f>
        <v>612</v>
      </c>
      <c r="G96" s="6">
        <f>IF(COUNTIF(PC.IT105.Inp!$C96:$L96,"")=10,"",IF(PC.IT105.Inp!$D96="","NULL",PC.IT105.Inp!$D96))</f>
        <v>0</v>
      </c>
      <c r="H96" s="6">
        <f>IF(COUNTIF(PC.IT105.Inp!$C96:$L96,"")=10,"",IF(PC.IT105.Inp!$E96="","NULL",PC.IT105.Inp!$E96))</f>
        <v>72</v>
      </c>
      <c r="I96" s="6">
        <f>IF(COUNTIF(PC.IT105.Inp!$C96:$L96,"")=10,"",IF(PC.IT105.Inp!$F96="","NULL",PC.IT105.Inp!$F96))</f>
        <v>72</v>
      </c>
      <c r="J96" s="6" t="str">
        <f>IF(COUNTIF(PC.IT105.Inp!$C96:$L96,"")=10,"",IF(PC.IT105.Inp!$G96="","NULL",""""&amp;PC.IT105.Inp!$G96&amp;""""))</f>
        <v>NULL</v>
      </c>
      <c r="K96" s="6" t="str">
        <f>IF(COUNTIF(PC.IT105.Inp!$C96:$L96,"")=10,"",IF(PC.IT105.Inp!$H96="","NULL",""""&amp;PC.IT105.Inp!$H96&amp;""""))</f>
        <v>"F7"</v>
      </c>
      <c r="L96" s="6" t="str">
        <f>IF(COUNTIF(PC.IT105.Inp!$C96:$L96,"")=10,"",IF(PC.IT105.Inp!$I96="","NULL",""""&amp;PC.IT105.Inp!$I96&amp;""""))</f>
        <v>NULL</v>
      </c>
      <c r="M96" s="6" t="str">
        <f>IF(COUNTIF(PC.IT105.Inp!$C96:$L96,"")=10,"",IF(PC.IT105.Inp!$J96="","NULL",""""&amp;PC.IT105.Inp!$J96&amp;""""))</f>
        <v>NULL</v>
      </c>
      <c r="N96" s="6">
        <f>IF(COUNTIF(PC.IT105.Inp!$C96:$L96,"")=10,"",IF(PC.IT105.Inp!$K96="","NULL",PC.IT105.Inp!$K96))</f>
        <v>0</v>
      </c>
      <c r="O96" s="6">
        <f>IF(COUNTIF(PC.IT105.Inp!$C96:$L96,"")=10,"",IF(PC.IT105.Inp!$L96="","NULL",PC.IT105.Inp!$L96))</f>
        <v>0</v>
      </c>
      <c r="P96" s="7" t="str">
        <f>IF(COUNTIF(PC.TU105.Inp!$C96:$L96,"")=10,"","("&amp;aconcat($C96:$O96,",")&amp;"),")</f>
        <v>(NULL,NULL,95,612,0,72,72,NULL,"F7",NULL,NULL,0,0),</v>
      </c>
    </row>
    <row r="97" spans="1:16" x14ac:dyDescent="0.3">
      <c r="A97" s="1" t="s">
        <v>142</v>
      </c>
      <c r="B97" s="1">
        <f t="shared" si="1"/>
        <v>96</v>
      </c>
      <c r="C97" s="6" t="str">
        <f>IF(COUNTIF(PC.IT105.Inp!$C97:$L97,"")=10,"","NULL")</f>
        <v>NULL</v>
      </c>
      <c r="D97" s="6" t="str">
        <f>IF(COUNTIF(PC.IT105.Inp!$C97:$L97,"")=10,"","NULL")</f>
        <v>NULL</v>
      </c>
      <c r="E97" s="6">
        <f>IF(COUNTIF(PC.IT105.Inp!$C97:$L97,"")=10,"",$B97)</f>
        <v>96</v>
      </c>
      <c r="F97" s="6">
        <f>IF(COUNTIF(PC.IT105.Inp!$C97:$L97,"")=10,"",IF(PC.IT105.Inp!$C97="","NULL",PC.IT105.Inp!$C97))</f>
        <v>684</v>
      </c>
      <c r="G97" s="6">
        <f>IF(COUNTIF(PC.IT105.Inp!$C97:$L97,"")=10,"",IF(PC.IT105.Inp!$D97="","NULL",PC.IT105.Inp!$D97))</f>
        <v>0</v>
      </c>
      <c r="H97" s="6">
        <f>IF(COUNTIF(PC.IT105.Inp!$C97:$L97,"")=10,"",IF(PC.IT105.Inp!$E97="","NULL",PC.IT105.Inp!$E97))</f>
        <v>72</v>
      </c>
      <c r="I97" s="6">
        <f>IF(COUNTIF(PC.IT105.Inp!$C97:$L97,"")=10,"",IF(PC.IT105.Inp!$F97="","NULL",PC.IT105.Inp!$F97))</f>
        <v>72</v>
      </c>
      <c r="J97" s="6" t="str">
        <f>IF(COUNTIF(PC.IT105.Inp!$C97:$L97,"")=10,"",IF(PC.IT105.Inp!$G97="","NULL",""""&amp;PC.IT105.Inp!$G97&amp;""""))</f>
        <v>NULL</v>
      </c>
      <c r="K97" s="6" t="str">
        <f>IF(COUNTIF(PC.IT105.Inp!$C97:$L97,"")=10,"",IF(PC.IT105.Inp!$H97="","NULL",""""&amp;PC.IT105.Inp!$H97&amp;""""))</f>
        <v>"F8"</v>
      </c>
      <c r="L97" s="6" t="str">
        <f>IF(COUNTIF(PC.IT105.Inp!$C97:$L97,"")=10,"",IF(PC.IT105.Inp!$I97="","NULL",""""&amp;PC.IT105.Inp!$I97&amp;""""))</f>
        <v>NULL</v>
      </c>
      <c r="M97" s="6" t="str">
        <f>IF(COUNTIF(PC.IT105.Inp!$C97:$L97,"")=10,"",IF(PC.IT105.Inp!$J97="","NULL",""""&amp;PC.IT105.Inp!$J97&amp;""""))</f>
        <v>NULL</v>
      </c>
      <c r="N97" s="6">
        <f>IF(COUNTIF(PC.IT105.Inp!$C97:$L97,"")=10,"",IF(PC.IT105.Inp!$K97="","NULL",PC.IT105.Inp!$K97))</f>
        <v>0</v>
      </c>
      <c r="O97" s="6">
        <f>IF(COUNTIF(PC.IT105.Inp!$C97:$L97,"")=10,"",IF(PC.IT105.Inp!$L97="","NULL",PC.IT105.Inp!$L97))</f>
        <v>0</v>
      </c>
      <c r="P97" s="7" t="str">
        <f>IF(COUNTIF(PC.TU105.Inp!$C97:$L97,"")=10,"","("&amp;aconcat($C97:$O97,",")&amp;"),")</f>
        <v>(NULL,NULL,96,684,0,72,72,NULL,"F8",NULL,NULL,0,0),</v>
      </c>
    </row>
    <row r="98" spans="1:16" x14ac:dyDescent="0.3">
      <c r="A98" s="1" t="s">
        <v>143</v>
      </c>
      <c r="B98" s="1">
        <f t="shared" si="1"/>
        <v>97</v>
      </c>
      <c r="C98" s="6" t="str">
        <f>IF(COUNTIF(PC.IT105.Inp!$C98:$L98,"")=10,"","NULL")</f>
        <v>NULL</v>
      </c>
      <c r="D98" s="6" t="str">
        <f>IF(COUNTIF(PC.IT105.Inp!$C98:$L98,"")=10,"","NULL")</f>
        <v>NULL</v>
      </c>
      <c r="E98" s="6">
        <f>IF(COUNTIF(PC.IT105.Inp!$C98:$L98,"")=10,"",$B98)</f>
        <v>97</v>
      </c>
      <c r="F98" s="6">
        <f>IF(COUNTIF(PC.IT105.Inp!$C98:$L98,"")=10,"",IF(PC.IT105.Inp!$C98="","NULL",PC.IT105.Inp!$C98))</f>
        <v>792</v>
      </c>
      <c r="G98" s="6">
        <f>IF(COUNTIF(PC.IT105.Inp!$C98:$L98,"")=10,"",IF(PC.IT105.Inp!$D98="","NULL",PC.IT105.Inp!$D98))</f>
        <v>0</v>
      </c>
      <c r="H98" s="6">
        <f>IF(COUNTIF(PC.IT105.Inp!$C98:$L98,"")=10,"",IF(PC.IT105.Inp!$E98="","NULL",PC.IT105.Inp!$E98))</f>
        <v>72</v>
      </c>
      <c r="I98" s="6">
        <f>IF(COUNTIF(PC.IT105.Inp!$C98:$L98,"")=10,"",IF(PC.IT105.Inp!$F98="","NULL",PC.IT105.Inp!$F98))</f>
        <v>72</v>
      </c>
      <c r="J98" s="6" t="str">
        <f>IF(COUNTIF(PC.IT105.Inp!$C98:$L98,"")=10,"",IF(PC.IT105.Inp!$G98="","NULL",""""&amp;PC.IT105.Inp!$G98&amp;""""))</f>
        <v>NULL</v>
      </c>
      <c r="K98" s="6" t="str">
        <f>IF(COUNTIF(PC.IT105.Inp!$C98:$L98,"")=10,"",IF(PC.IT105.Inp!$H98="","NULL",""""&amp;PC.IT105.Inp!$H98&amp;""""))</f>
        <v>"F9"</v>
      </c>
      <c r="L98" s="6" t="str">
        <f>IF(COUNTIF(PC.IT105.Inp!$C98:$L98,"")=10,"",IF(PC.IT105.Inp!$I98="","NULL",""""&amp;PC.IT105.Inp!$I98&amp;""""))</f>
        <v>NULL</v>
      </c>
      <c r="M98" s="6" t="str">
        <f>IF(COUNTIF(PC.IT105.Inp!$C98:$L98,"")=10,"",IF(PC.IT105.Inp!$J98="","NULL",""""&amp;PC.IT105.Inp!$J98&amp;""""))</f>
        <v>NULL</v>
      </c>
      <c r="N98" s="6">
        <f>IF(COUNTIF(PC.IT105.Inp!$C98:$L98,"")=10,"",IF(PC.IT105.Inp!$K98="","NULL",PC.IT105.Inp!$K98))</f>
        <v>0</v>
      </c>
      <c r="O98" s="6">
        <f>IF(COUNTIF(PC.IT105.Inp!$C98:$L98,"")=10,"",IF(PC.IT105.Inp!$L98="","NULL",PC.IT105.Inp!$L98))</f>
        <v>0</v>
      </c>
      <c r="P98" s="7" t="str">
        <f>IF(COUNTIF(PC.TU105.Inp!$C98:$L98,"")=10,"","("&amp;aconcat($C98:$O98,",")&amp;"),")</f>
        <v>(NULL,NULL,97,792,0,72,72,NULL,"F9",NULL,NULL,0,0),</v>
      </c>
    </row>
    <row r="99" spans="1:16" x14ac:dyDescent="0.3">
      <c r="A99" s="1" t="s">
        <v>144</v>
      </c>
      <c r="B99" s="1">
        <f t="shared" si="1"/>
        <v>98</v>
      </c>
      <c r="C99" s="6" t="str">
        <f>IF(COUNTIF(PC.IT105.Inp!$C99:$L99,"")=10,"","NULL")</f>
        <v>NULL</v>
      </c>
      <c r="D99" s="6" t="str">
        <f>IF(COUNTIF(PC.IT105.Inp!$C99:$L99,"")=10,"","NULL")</f>
        <v>NULL</v>
      </c>
      <c r="E99" s="6">
        <f>IF(COUNTIF(PC.IT105.Inp!$C99:$L99,"")=10,"",$B99)</f>
        <v>98</v>
      </c>
      <c r="F99" s="6">
        <f>IF(COUNTIF(PC.IT105.Inp!$C99:$L99,"")=10,"",IF(PC.IT105.Inp!$C99="","NULL",PC.IT105.Inp!$C99))</f>
        <v>864</v>
      </c>
      <c r="G99" s="6">
        <f>IF(COUNTIF(PC.IT105.Inp!$C99:$L99,"")=10,"",IF(PC.IT105.Inp!$D99="","NULL",PC.IT105.Inp!$D99))</f>
        <v>0</v>
      </c>
      <c r="H99" s="6">
        <f>IF(COUNTIF(PC.IT105.Inp!$C99:$L99,"")=10,"",IF(PC.IT105.Inp!$E99="","NULL",PC.IT105.Inp!$E99))</f>
        <v>72</v>
      </c>
      <c r="I99" s="6">
        <f>IF(COUNTIF(PC.IT105.Inp!$C99:$L99,"")=10,"",IF(PC.IT105.Inp!$F99="","NULL",PC.IT105.Inp!$F99))</f>
        <v>72</v>
      </c>
      <c r="J99" s="6" t="str">
        <f>IF(COUNTIF(PC.IT105.Inp!$C99:$L99,"")=10,"",IF(PC.IT105.Inp!$G99="","NULL",""""&amp;PC.IT105.Inp!$G99&amp;""""))</f>
        <v>NULL</v>
      </c>
      <c r="K99" s="6" t="str">
        <f>IF(COUNTIF(PC.IT105.Inp!$C99:$L99,"")=10,"",IF(PC.IT105.Inp!$H99="","NULL",""""&amp;PC.IT105.Inp!$H99&amp;""""))</f>
        <v>"F10"</v>
      </c>
      <c r="L99" s="6" t="str">
        <f>IF(COUNTIF(PC.IT105.Inp!$C99:$L99,"")=10,"",IF(PC.IT105.Inp!$I99="","NULL",""""&amp;PC.IT105.Inp!$I99&amp;""""))</f>
        <v>NULL</v>
      </c>
      <c r="M99" s="6" t="str">
        <f>IF(COUNTIF(PC.IT105.Inp!$C99:$L99,"")=10,"",IF(PC.IT105.Inp!$J99="","NULL",""""&amp;PC.IT105.Inp!$J99&amp;""""))</f>
        <v>NULL</v>
      </c>
      <c r="N99" s="6">
        <f>IF(COUNTIF(PC.IT105.Inp!$C99:$L99,"")=10,"",IF(PC.IT105.Inp!$K99="","NULL",PC.IT105.Inp!$K99))</f>
        <v>0</v>
      </c>
      <c r="O99" s="6">
        <f>IF(COUNTIF(PC.IT105.Inp!$C99:$L99,"")=10,"",IF(PC.IT105.Inp!$L99="","NULL",PC.IT105.Inp!$L99))</f>
        <v>0</v>
      </c>
      <c r="P99" s="7" t="str">
        <f>IF(COUNTIF(PC.TU105.Inp!$C99:$L99,"")=10,"","("&amp;aconcat($C99:$O99,",")&amp;"),")</f>
        <v>(NULL,NULL,98,864,0,72,72,NULL,"F10",NULL,NULL,0,0),</v>
      </c>
    </row>
    <row r="100" spans="1:16" x14ac:dyDescent="0.3">
      <c r="A100" s="1" t="s">
        <v>145</v>
      </c>
      <c r="B100" s="1">
        <f t="shared" si="1"/>
        <v>99</v>
      </c>
      <c r="C100" s="6" t="str">
        <f>IF(COUNTIF(PC.IT105.Inp!$C100:$L100,"")=10,"","NULL")</f>
        <v>NULL</v>
      </c>
      <c r="D100" s="6" t="str">
        <f>IF(COUNTIF(PC.IT105.Inp!$C100:$L100,"")=10,"","NULL")</f>
        <v>NULL</v>
      </c>
      <c r="E100" s="6">
        <f>IF(COUNTIF(PC.IT105.Inp!$C100:$L100,"")=10,"",$B100)</f>
        <v>99</v>
      </c>
      <c r="F100" s="6">
        <f>IF(COUNTIF(PC.IT105.Inp!$C100:$L100,"")=10,"",IF(PC.IT105.Inp!$C100="","NULL",PC.IT105.Inp!$C100))</f>
        <v>936</v>
      </c>
      <c r="G100" s="6">
        <f>IF(COUNTIF(PC.IT105.Inp!$C100:$L100,"")=10,"",IF(PC.IT105.Inp!$D100="","NULL",PC.IT105.Inp!$D100))</f>
        <v>0</v>
      </c>
      <c r="H100" s="6">
        <f>IF(COUNTIF(PC.IT105.Inp!$C100:$L100,"")=10,"",IF(PC.IT105.Inp!$E100="","NULL",PC.IT105.Inp!$E100))</f>
        <v>72</v>
      </c>
      <c r="I100" s="6">
        <f>IF(COUNTIF(PC.IT105.Inp!$C100:$L100,"")=10,"",IF(PC.IT105.Inp!$F100="","NULL",PC.IT105.Inp!$F100))</f>
        <v>72</v>
      </c>
      <c r="J100" s="6" t="str">
        <f>IF(COUNTIF(PC.IT105.Inp!$C100:$L100,"")=10,"",IF(PC.IT105.Inp!$G100="","NULL",""""&amp;PC.IT105.Inp!$G100&amp;""""))</f>
        <v>NULL</v>
      </c>
      <c r="K100" s="6" t="str">
        <f>IF(COUNTIF(PC.IT105.Inp!$C100:$L100,"")=10,"",IF(PC.IT105.Inp!$H100="","NULL",""""&amp;PC.IT105.Inp!$H100&amp;""""))</f>
        <v>"F11"</v>
      </c>
      <c r="L100" s="6" t="str">
        <f>IF(COUNTIF(PC.IT105.Inp!$C100:$L100,"")=10,"",IF(PC.IT105.Inp!$I100="","NULL",""""&amp;PC.IT105.Inp!$I100&amp;""""))</f>
        <v>NULL</v>
      </c>
      <c r="M100" s="6" t="str">
        <f>IF(COUNTIF(PC.IT105.Inp!$C100:$L100,"")=10,"",IF(PC.IT105.Inp!$J100="","NULL",""""&amp;PC.IT105.Inp!$J100&amp;""""))</f>
        <v>NULL</v>
      </c>
      <c r="N100" s="6">
        <f>IF(COUNTIF(PC.IT105.Inp!$C100:$L100,"")=10,"",IF(PC.IT105.Inp!$K100="","NULL",PC.IT105.Inp!$K100))</f>
        <v>0</v>
      </c>
      <c r="O100" s="6">
        <f>IF(COUNTIF(PC.IT105.Inp!$C100:$L100,"")=10,"",IF(PC.IT105.Inp!$L100="","NULL",PC.IT105.Inp!$L100))</f>
        <v>0</v>
      </c>
      <c r="P100" s="7" t="str">
        <f>IF(COUNTIF(PC.TU105.Inp!$C100:$L100,"")=10,"","("&amp;aconcat($C100:$O100,",")&amp;"),")</f>
        <v>(NULL,NULL,99,936,0,72,72,NULL,"F11",NULL,NULL,0,0),</v>
      </c>
    </row>
    <row r="101" spans="1:16" x14ac:dyDescent="0.3">
      <c r="A101" s="1" t="s">
        <v>146</v>
      </c>
      <c r="B101" s="1">
        <f t="shared" si="1"/>
        <v>100</v>
      </c>
      <c r="C101" s="6" t="str">
        <f>IF(COUNTIF(PC.IT105.Inp!$C101:$L101,"")=10,"","NULL")</f>
        <v>NULL</v>
      </c>
      <c r="D101" s="6" t="str">
        <f>IF(COUNTIF(PC.IT105.Inp!$C101:$L101,"")=10,"","NULL")</f>
        <v>NULL</v>
      </c>
      <c r="E101" s="6">
        <f>IF(COUNTIF(PC.IT105.Inp!$C101:$L101,"")=10,"",$B101)</f>
        <v>100</v>
      </c>
      <c r="F101" s="6">
        <f>IF(COUNTIF(PC.IT105.Inp!$C101:$L101,"")=10,"",IF(PC.IT105.Inp!$C101="","NULL",PC.IT105.Inp!$C101))</f>
        <v>1008</v>
      </c>
      <c r="G101" s="6">
        <f>IF(COUNTIF(PC.IT105.Inp!$C101:$L101,"")=10,"",IF(PC.IT105.Inp!$D101="","NULL",PC.IT105.Inp!$D101))</f>
        <v>0</v>
      </c>
      <c r="H101" s="6">
        <f>IF(COUNTIF(PC.IT105.Inp!$C101:$L101,"")=10,"",IF(PC.IT105.Inp!$E101="","NULL",PC.IT105.Inp!$E101))</f>
        <v>72</v>
      </c>
      <c r="I101" s="6">
        <f>IF(COUNTIF(PC.IT105.Inp!$C101:$L101,"")=10,"",IF(PC.IT105.Inp!$F101="","NULL",PC.IT105.Inp!$F101))</f>
        <v>72</v>
      </c>
      <c r="J101" s="6" t="str">
        <f>IF(COUNTIF(PC.IT105.Inp!$C101:$L101,"")=10,"",IF(PC.IT105.Inp!$G101="","NULL",""""&amp;PC.IT105.Inp!$G101&amp;""""))</f>
        <v>NULL</v>
      </c>
      <c r="K101" s="6" t="str">
        <f>IF(COUNTIF(PC.IT105.Inp!$C101:$L101,"")=10,"",IF(PC.IT105.Inp!$H101="","NULL",""""&amp;PC.IT105.Inp!$H101&amp;""""))</f>
        <v>"F12"</v>
      </c>
      <c r="L101" s="6" t="str">
        <f>IF(COUNTIF(PC.IT105.Inp!$C101:$L101,"")=10,"",IF(PC.IT105.Inp!$I101="","NULL",""""&amp;PC.IT105.Inp!$I101&amp;""""))</f>
        <v>NULL</v>
      </c>
      <c r="M101" s="6" t="str">
        <f>IF(COUNTIF(PC.IT105.Inp!$C101:$L101,"")=10,"",IF(PC.IT105.Inp!$J101="","NULL",""""&amp;PC.IT105.Inp!$J101&amp;""""))</f>
        <v>NULL</v>
      </c>
      <c r="N101" s="6">
        <f>IF(COUNTIF(PC.IT105.Inp!$C101:$L101,"")=10,"",IF(PC.IT105.Inp!$K101="","NULL",PC.IT105.Inp!$K101))</f>
        <v>0</v>
      </c>
      <c r="O101" s="6">
        <f>IF(COUNTIF(PC.IT105.Inp!$C101:$L101,"")=10,"",IF(PC.IT105.Inp!$L101="","NULL",PC.IT105.Inp!$L101))</f>
        <v>0</v>
      </c>
      <c r="P101" s="7" t="str">
        <f>IF(COUNTIF(PC.TU105.Inp!$C101:$L101,"")=10,"","("&amp;aconcat($C101:$O101,",")&amp;"),")</f>
        <v>(NULL,NULL,100,1008,0,72,72,NULL,"F12",NULL,NULL,0,0),</v>
      </c>
    </row>
    <row r="102" spans="1:16" x14ac:dyDescent="0.3">
      <c r="A102" s="1" t="s">
        <v>160</v>
      </c>
      <c r="B102" s="1">
        <f t="shared" si="1"/>
        <v>101</v>
      </c>
      <c r="C102" s="6" t="str">
        <f>IF(COUNTIF(PC.IT105.Inp!$C102:$L102,"")=10,"","NULL")</f>
        <v>NULL</v>
      </c>
      <c r="D102" s="6" t="str">
        <f>IF(COUNTIF(PC.IT105.Inp!$C102:$L102,"")=10,"","NULL")</f>
        <v>NULL</v>
      </c>
      <c r="E102" s="6">
        <f>IF(COUNTIF(PC.IT105.Inp!$C102:$L102,"")=10,"",$B102)</f>
        <v>101</v>
      </c>
      <c r="F102" s="6">
        <f>IF(COUNTIF(PC.IT105.Inp!$C102:$L102,"")=10,"",IF(PC.IT105.Inp!$C102="","NULL",PC.IT105.Inp!$C102))</f>
        <v>1110</v>
      </c>
      <c r="G102" s="6">
        <f>IF(COUNTIF(PC.IT105.Inp!$C102:$L102,"")=10,"",IF(PC.IT105.Inp!$D102="","NULL",PC.IT105.Inp!$D102))</f>
        <v>0</v>
      </c>
      <c r="H102" s="6">
        <f>IF(COUNTIF(PC.IT105.Inp!$C102:$L102,"")=10,"",IF(PC.IT105.Inp!$E102="","NULL",PC.IT105.Inp!$E102))</f>
        <v>72</v>
      </c>
      <c r="I102" s="6">
        <f>IF(COUNTIF(PC.IT105.Inp!$C102:$L102,"")=10,"",IF(PC.IT105.Inp!$F102="","NULL",PC.IT105.Inp!$F102))</f>
        <v>72</v>
      </c>
      <c r="J102" s="6" t="str">
        <f>IF(COUNTIF(PC.IT105.Inp!$C102:$L102,"")=10,"",IF(PC.IT105.Inp!$G102="","NULL",""""&amp;PC.IT105.Inp!$G102&amp;""""))</f>
        <v>NULL</v>
      </c>
      <c r="K102" s="6" t="str">
        <f>IF(COUNTIF(PC.IT105.Inp!$C102:$L102,"")=10,"",IF(PC.IT105.Inp!$H102="","NULL",""""&amp;PC.IT105.Inp!$H102&amp;""""))</f>
        <v>"PrtSc"</v>
      </c>
      <c r="L102" s="6" t="str">
        <f>IF(COUNTIF(PC.IT105.Inp!$C102:$L102,"")=10,"",IF(PC.IT105.Inp!$I102="","NULL",""""&amp;PC.IT105.Inp!$I102&amp;""""))</f>
        <v>NULL</v>
      </c>
      <c r="M102" s="6" t="str">
        <f>IF(COUNTIF(PC.IT105.Inp!$C102:$L102,"")=10,"",IF(PC.IT105.Inp!$J102="","NULL",""""&amp;PC.IT105.Inp!$J102&amp;""""))</f>
        <v>NULL</v>
      </c>
      <c r="N102" s="6">
        <f>IF(COUNTIF(PC.IT105.Inp!$C102:$L102,"")=10,"",IF(PC.IT105.Inp!$K102="","NULL",PC.IT105.Inp!$K102))</f>
        <v>0</v>
      </c>
      <c r="O102" s="6">
        <f>IF(COUNTIF(PC.IT105.Inp!$C102:$L102,"")=10,"",IF(PC.IT105.Inp!$L102="","NULL",PC.IT105.Inp!$L102))</f>
        <v>0</v>
      </c>
      <c r="P102" s="7" t="str">
        <f>IF(COUNTIF(PC.TU105.Inp!$C102:$L102,"")=10,"","("&amp;aconcat($C102:$O102,",")&amp;"),")</f>
        <v>(NULL,NULL,101,1110,0,72,72,NULL,"PrtSc",NULL,NULL,0,0),</v>
      </c>
    </row>
    <row r="103" spans="1:16" x14ac:dyDescent="0.3">
      <c r="A103" s="1" t="s">
        <v>159</v>
      </c>
      <c r="B103" s="1">
        <f t="shared" si="1"/>
        <v>102</v>
      </c>
      <c r="C103" s="6" t="str">
        <f>IF(COUNTIF(PC.IT105.Inp!$C103:$L103,"")=10,"","NULL")</f>
        <v>NULL</v>
      </c>
      <c r="D103" s="6" t="str">
        <f>IF(COUNTIF(PC.IT105.Inp!$C103:$L103,"")=10,"","NULL")</f>
        <v>NULL</v>
      </c>
      <c r="E103" s="6">
        <f>IF(COUNTIF(PC.IT105.Inp!$C103:$L103,"")=10,"",$B103)</f>
        <v>102</v>
      </c>
      <c r="F103" s="6">
        <f>IF(COUNTIF(PC.IT105.Inp!$C103:$L103,"")=10,"",IF(PC.IT105.Inp!$C103="","NULL",PC.IT105.Inp!$C103))</f>
        <v>1182</v>
      </c>
      <c r="G103" s="6">
        <f>IF(COUNTIF(PC.IT105.Inp!$C103:$L103,"")=10,"",IF(PC.IT105.Inp!$D103="","NULL",PC.IT105.Inp!$D103))</f>
        <v>0</v>
      </c>
      <c r="H103" s="6">
        <f>IF(COUNTIF(PC.IT105.Inp!$C103:$L103,"")=10,"",IF(PC.IT105.Inp!$E103="","NULL",PC.IT105.Inp!$E103))</f>
        <v>72</v>
      </c>
      <c r="I103" s="6">
        <f>IF(COUNTIF(PC.IT105.Inp!$C103:$L103,"")=10,"",IF(PC.IT105.Inp!$F103="","NULL",PC.IT105.Inp!$F103))</f>
        <v>72</v>
      </c>
      <c r="J103" s="6" t="str">
        <f>IF(COUNTIF(PC.IT105.Inp!$C103:$L103,"")=10,"",IF(PC.IT105.Inp!$G103="","NULL",""""&amp;PC.IT105.Inp!$G103&amp;""""))</f>
        <v>NULL</v>
      </c>
      <c r="K103" s="6" t="str">
        <f>IF(COUNTIF(PC.IT105.Inp!$C103:$L103,"")=10,"",IF(PC.IT105.Inp!$H103="","NULL",""""&amp;PC.IT105.Inp!$H103&amp;""""))</f>
        <v>"ScrLk"</v>
      </c>
      <c r="L103" s="6" t="str">
        <f>IF(COUNTIF(PC.IT105.Inp!$C103:$L103,"")=10,"",IF(PC.IT105.Inp!$I103="","NULL",""""&amp;PC.IT105.Inp!$I103&amp;""""))</f>
        <v>NULL</v>
      </c>
      <c r="M103" s="6" t="str">
        <f>IF(COUNTIF(PC.IT105.Inp!$C103:$L103,"")=10,"",IF(PC.IT105.Inp!$J103="","NULL",""""&amp;PC.IT105.Inp!$J103&amp;""""))</f>
        <v>NULL</v>
      </c>
      <c r="N103" s="6">
        <f>IF(COUNTIF(PC.IT105.Inp!$C103:$L103,"")=10,"",IF(PC.IT105.Inp!$K103="","NULL",PC.IT105.Inp!$K103))</f>
        <v>0</v>
      </c>
      <c r="O103" s="6">
        <f>IF(COUNTIF(PC.IT105.Inp!$C103:$L103,"")=10,"",IF(PC.IT105.Inp!$L103="","NULL",PC.IT105.Inp!$L103))</f>
        <v>0</v>
      </c>
      <c r="P103" s="7" t="str">
        <f>IF(COUNTIF(PC.TU105.Inp!$C103:$L103,"")=10,"","("&amp;aconcat($C103:$O103,",")&amp;"),")</f>
        <v>(NULL,NULL,102,1182,0,72,72,NULL,"ScrLk",NULL,NULL,0,0),</v>
      </c>
    </row>
    <row r="104" spans="1:16" x14ac:dyDescent="0.3">
      <c r="A104" s="1" t="s">
        <v>149</v>
      </c>
      <c r="B104" s="1">
        <f t="shared" si="1"/>
        <v>103</v>
      </c>
      <c r="C104" s="6" t="str">
        <f>IF(COUNTIF(PC.IT105.Inp!$C104:$L104,"")=10,"","NULL")</f>
        <v>NULL</v>
      </c>
      <c r="D104" s="6" t="str">
        <f>IF(COUNTIF(PC.IT105.Inp!$C104:$L104,"")=10,"","NULL")</f>
        <v>NULL</v>
      </c>
      <c r="E104" s="6">
        <f>IF(COUNTIF(PC.IT105.Inp!$C104:$L104,"")=10,"",$B104)</f>
        <v>103</v>
      </c>
      <c r="F104" s="6">
        <f>IF(COUNTIF(PC.IT105.Inp!$C104:$L104,"")=10,"",IF(PC.IT105.Inp!$C104="","NULL",PC.IT105.Inp!$C104))</f>
        <v>1254</v>
      </c>
      <c r="G104" s="6">
        <f>IF(COUNTIF(PC.IT105.Inp!$C104:$L104,"")=10,"",IF(PC.IT105.Inp!$D104="","NULL",PC.IT105.Inp!$D104))</f>
        <v>0</v>
      </c>
      <c r="H104" s="6">
        <f>IF(COUNTIF(PC.IT105.Inp!$C104:$L104,"")=10,"",IF(PC.IT105.Inp!$E104="","NULL",PC.IT105.Inp!$E104))</f>
        <v>72</v>
      </c>
      <c r="I104" s="6">
        <f>IF(COUNTIF(PC.IT105.Inp!$C104:$L104,"")=10,"",IF(PC.IT105.Inp!$F104="","NULL",PC.IT105.Inp!$F104))</f>
        <v>72</v>
      </c>
      <c r="J104" s="6" t="str">
        <f>IF(COUNTIF(PC.IT105.Inp!$C104:$L104,"")=10,"",IF(PC.IT105.Inp!$G104="","NULL",""""&amp;PC.IT105.Inp!$G104&amp;""""))</f>
        <v>NULL</v>
      </c>
      <c r="K104" s="6" t="str">
        <f>IF(COUNTIF(PC.IT105.Inp!$C104:$L104,"")=10,"",IF(PC.IT105.Inp!$H104="","NULL",""""&amp;PC.IT105.Inp!$H104&amp;""""))</f>
        <v>"Pause"</v>
      </c>
      <c r="L104" s="6" t="str">
        <f>IF(COUNTIF(PC.IT105.Inp!$C104:$L104,"")=10,"",IF(PC.IT105.Inp!$I104="","NULL",""""&amp;PC.IT105.Inp!$I104&amp;""""))</f>
        <v>NULL</v>
      </c>
      <c r="M104" s="6" t="str">
        <f>IF(COUNTIF(PC.IT105.Inp!$C104:$L104,"")=10,"",IF(PC.IT105.Inp!$J104="","NULL",""""&amp;PC.IT105.Inp!$J104&amp;""""))</f>
        <v>NULL</v>
      </c>
      <c r="N104" s="6">
        <f>IF(COUNTIF(PC.IT105.Inp!$C104:$L104,"")=10,"",IF(PC.IT105.Inp!$K104="","NULL",PC.IT105.Inp!$K104))</f>
        <v>0</v>
      </c>
      <c r="O104" s="6">
        <f>IF(COUNTIF(PC.IT105.Inp!$C104:$L104,"")=10,"",IF(PC.IT105.Inp!$L104="","NULL",PC.IT105.Inp!$L104))</f>
        <v>0</v>
      </c>
      <c r="P104" s="7" t="str">
        <f>IF(COUNTIF(PC.TU105.Inp!$C104:$L104,"")=10,"","("&amp;aconcat($C104:$O104,",")&amp;"),")</f>
        <v>(NULL,NULL,103,1254,0,72,72,NULL,"Pause",NULL,NULL,0,0),</v>
      </c>
    </row>
    <row r="105" spans="1:16" x14ac:dyDescent="0.3">
      <c r="A105" s="1" t="s">
        <v>150</v>
      </c>
      <c r="B105" s="1">
        <f t="shared" si="1"/>
        <v>104</v>
      </c>
      <c r="C105" s="6" t="str">
        <f>IF(COUNTIF(PC.IT105.Inp!$C105:$L105,"")=10,"","NULL")</f>
        <v>NULL</v>
      </c>
      <c r="D105" s="6" t="str">
        <f>IF(COUNTIF(PC.IT105.Inp!$C105:$L105,"")=10,"","NULL")</f>
        <v>NULL</v>
      </c>
      <c r="E105" s="6">
        <f>IF(COUNTIF(PC.IT105.Inp!$C105:$L105,"")=10,"",$B105)</f>
        <v>104</v>
      </c>
      <c r="F105" s="6">
        <f>IF(COUNTIF(PC.IT105.Inp!$C105:$L105,"")=10,"",IF(PC.IT105.Inp!$C105="","NULL",PC.IT105.Inp!$C105))</f>
        <v>90</v>
      </c>
      <c r="G105" s="6">
        <f>IF(COUNTIF(PC.IT105.Inp!$C105:$L105,"")=10,"",IF(PC.IT105.Inp!$D105="","NULL",PC.IT105.Inp!$D105))</f>
        <v>396</v>
      </c>
      <c r="H105" s="6">
        <f>IF(COUNTIF(PC.IT105.Inp!$C105:$L105,"")=10,"",IF(PC.IT105.Inp!$E105="","NULL",PC.IT105.Inp!$E105))</f>
        <v>90</v>
      </c>
      <c r="I105" s="6">
        <f>IF(COUNTIF(PC.IT105.Inp!$C105:$L105,"")=10,"",IF(PC.IT105.Inp!$F105="","NULL",PC.IT105.Inp!$F105))</f>
        <v>72</v>
      </c>
      <c r="J105" s="6" t="str">
        <f>IF(COUNTIF(PC.IT105.Inp!$C105:$L105,"")=10,"",IF(PC.IT105.Inp!$G105="","NULL",""""&amp;PC.IT105.Inp!$G105&amp;""""))</f>
        <v>NULL</v>
      </c>
      <c r="K105" s="6" t="str">
        <f>IF(COUNTIF(PC.IT105.Inp!$C105:$L105,"")=10,"",IF(PC.IT105.Inp!$H105="","NULL",""""&amp;PC.IT105.Inp!$H105&amp;""""))</f>
        <v>"LSuper"</v>
      </c>
      <c r="L105" s="6" t="str">
        <f>IF(COUNTIF(PC.IT105.Inp!$C105:$L105,"")=10,"",IF(PC.IT105.Inp!$I105="","NULL",""""&amp;PC.IT105.Inp!$I105&amp;""""))</f>
        <v>NULL</v>
      </c>
      <c r="M105" s="6" t="str">
        <f>IF(COUNTIF(PC.IT105.Inp!$C105:$L105,"")=10,"",IF(PC.IT105.Inp!$J105="","NULL",""""&amp;PC.IT105.Inp!$J105&amp;""""))</f>
        <v>NULL</v>
      </c>
      <c r="N105" s="6">
        <f>IF(COUNTIF(PC.IT105.Inp!$C105:$L105,"")=10,"",IF(PC.IT105.Inp!$K105="","NULL",PC.IT105.Inp!$K105))</f>
        <v>0</v>
      </c>
      <c r="O105" s="6">
        <f>IF(COUNTIF(PC.IT105.Inp!$C105:$L105,"")=10,"",IF(PC.IT105.Inp!$L105="","NULL",PC.IT105.Inp!$L105))</f>
        <v>0</v>
      </c>
      <c r="P105" s="7" t="str">
        <f>IF(COUNTIF(PC.TU105.Inp!$C105:$L105,"")=10,"","("&amp;aconcat($C105:$O105,",")&amp;"),")</f>
        <v>(NULL,NULL,104,90,396,90,72,NULL,"LSuper",NULL,NULL,0,0),</v>
      </c>
    </row>
    <row r="106" spans="1:16" x14ac:dyDescent="0.3">
      <c r="A106" s="1" t="s">
        <v>151</v>
      </c>
      <c r="B106" s="1">
        <f t="shared" si="1"/>
        <v>105</v>
      </c>
      <c r="C106" s="6" t="str">
        <f>IF(COUNTIF(PC.IT105.Inp!$C106:$L106,"")=10,"","NULL")</f>
        <v>NULL</v>
      </c>
      <c r="D106" s="6" t="str">
        <f>IF(COUNTIF(PC.IT105.Inp!$C106:$L106,"")=10,"","NULL")</f>
        <v>NULL</v>
      </c>
      <c r="E106" s="6">
        <f>IF(COUNTIF(PC.IT105.Inp!$C106:$L106,"")=10,"",$B106)</f>
        <v>105</v>
      </c>
      <c r="F106" s="6">
        <f>IF(COUNTIF(PC.IT105.Inp!$C106:$L106,"")=10,"",IF(PC.IT105.Inp!$C106="","NULL",PC.IT105.Inp!$C106))</f>
        <v>810</v>
      </c>
      <c r="G106" s="6">
        <f>IF(COUNTIF(PC.IT105.Inp!$C106:$L106,"")=10,"",IF(PC.IT105.Inp!$D106="","NULL",PC.IT105.Inp!$D106))</f>
        <v>396</v>
      </c>
      <c r="H106" s="6">
        <f>IF(COUNTIF(PC.IT105.Inp!$C106:$L106,"")=10,"",IF(PC.IT105.Inp!$E106="","NULL",PC.IT105.Inp!$E106))</f>
        <v>90</v>
      </c>
      <c r="I106" s="6">
        <f>IF(COUNTIF(PC.IT105.Inp!$C106:$L106,"")=10,"",IF(PC.IT105.Inp!$F106="","NULL",PC.IT105.Inp!$F106))</f>
        <v>72</v>
      </c>
      <c r="J106" s="6" t="str">
        <f>IF(COUNTIF(PC.IT105.Inp!$C106:$L106,"")=10,"",IF(PC.IT105.Inp!$G106="","NULL",""""&amp;PC.IT105.Inp!$G106&amp;""""))</f>
        <v>NULL</v>
      </c>
      <c r="K106" s="6" t="str">
        <f>IF(COUNTIF(PC.IT105.Inp!$C106:$L106,"")=10,"",IF(PC.IT105.Inp!$H106="","NULL",""""&amp;PC.IT105.Inp!$H106&amp;""""))</f>
        <v>"RSuper"</v>
      </c>
      <c r="L106" s="6" t="str">
        <f>IF(COUNTIF(PC.IT105.Inp!$C106:$L106,"")=10,"",IF(PC.IT105.Inp!$I106="","NULL",""""&amp;PC.IT105.Inp!$I106&amp;""""))</f>
        <v>NULL</v>
      </c>
      <c r="M106" s="6" t="str">
        <f>IF(COUNTIF(PC.IT105.Inp!$C106:$L106,"")=10,"",IF(PC.IT105.Inp!$J106="","NULL",""""&amp;PC.IT105.Inp!$J106&amp;""""))</f>
        <v>NULL</v>
      </c>
      <c r="N106" s="6">
        <f>IF(COUNTIF(PC.IT105.Inp!$C106:$L106,"")=10,"",IF(PC.IT105.Inp!$K106="","NULL",PC.IT105.Inp!$K106))</f>
        <v>0</v>
      </c>
      <c r="O106" s="6">
        <f>IF(COUNTIF(PC.IT105.Inp!$C106:$L106,"")=10,"",IF(PC.IT105.Inp!$L106="","NULL",PC.IT105.Inp!$L106))</f>
        <v>0</v>
      </c>
      <c r="P106" s="7" t="str">
        <f>IF(COUNTIF(PC.TU105.Inp!$C106:$L106,"")=10,"","("&amp;aconcat($C106:$O106,",")&amp;"),")</f>
        <v>(NULL,NULL,105,810,396,90,72,NULL,"RSuper",NULL,NULL,0,0),</v>
      </c>
    </row>
    <row r="107" spans="1:16" x14ac:dyDescent="0.3">
      <c r="A107" s="1" t="s">
        <v>161</v>
      </c>
      <c r="B107" s="1">
        <f t="shared" si="1"/>
        <v>106</v>
      </c>
      <c r="C107" s="6" t="str">
        <f>IF(COUNTIF(PC.IT105.Inp!$C107:$L107,"")=10,"","NULL")</f>
        <v>NULL</v>
      </c>
      <c r="D107" s="6" t="str">
        <f>IF(COUNTIF(PC.IT105.Inp!$C107:$L107,"")=10,"","NULL")</f>
        <v>NULL</v>
      </c>
      <c r="E107" s="6">
        <f>IF(COUNTIF(PC.IT105.Inp!$C107:$L107,"")=10,"",$B107)</f>
        <v>106</v>
      </c>
      <c r="F107" s="6">
        <f>IF(COUNTIF(PC.IT105.Inp!$C107:$L107,"")=10,"",IF(PC.IT105.Inp!$C107="","NULL",PC.IT105.Inp!$C107))</f>
        <v>900</v>
      </c>
      <c r="G107" s="6">
        <f>IF(COUNTIF(PC.IT105.Inp!$C107:$L107,"")=10,"",IF(PC.IT105.Inp!$D107="","NULL",PC.IT105.Inp!$D107))</f>
        <v>396</v>
      </c>
      <c r="H107" s="6">
        <f>IF(COUNTIF(PC.IT105.Inp!$C107:$L107,"")=10,"",IF(PC.IT105.Inp!$E107="","NULL",PC.IT105.Inp!$E107))</f>
        <v>90</v>
      </c>
      <c r="I107" s="6">
        <f>IF(COUNTIF(PC.IT105.Inp!$C107:$L107,"")=10,"",IF(PC.IT105.Inp!$F107="","NULL",PC.IT105.Inp!$F107))</f>
        <v>72</v>
      </c>
      <c r="J107" s="6" t="str">
        <f>IF(COUNTIF(PC.IT105.Inp!$C107:$L107,"")=10,"",IF(PC.IT105.Inp!$G107="","NULL",""""&amp;PC.IT105.Inp!$G107&amp;""""))</f>
        <v>NULL</v>
      </c>
      <c r="K107" s="6" t="str">
        <f>IF(COUNTIF(PC.IT105.Inp!$C107:$L107,"")=10,"",IF(PC.IT105.Inp!$H107="","NULL",""""&amp;PC.IT105.Inp!$H107&amp;""""))</f>
        <v>"Menu"</v>
      </c>
      <c r="L107" s="6" t="str">
        <f>IF(COUNTIF(PC.IT105.Inp!$C107:$L107,"")=10,"",IF(PC.IT105.Inp!$I107="","NULL",""""&amp;PC.IT105.Inp!$I107&amp;""""))</f>
        <v>NULL</v>
      </c>
      <c r="M107" s="6" t="str">
        <f>IF(COUNTIF(PC.IT105.Inp!$C107:$L107,"")=10,"",IF(PC.IT105.Inp!$J107="","NULL",""""&amp;PC.IT105.Inp!$J107&amp;""""))</f>
        <v>NULL</v>
      </c>
      <c r="N107" s="6">
        <f>IF(COUNTIF(PC.IT105.Inp!$C107:$L107,"")=10,"",IF(PC.IT105.Inp!$K107="","NULL",PC.IT105.Inp!$K107))</f>
        <v>0</v>
      </c>
      <c r="O107" s="6">
        <f>IF(COUNTIF(PC.IT105.Inp!$C107:$L107,"")=10,"",IF(PC.IT105.Inp!$L107="","NULL",PC.IT105.Inp!$L107))</f>
        <v>0</v>
      </c>
      <c r="P107" s="7" t="str">
        <f>IF(COUNTIF(PC.TU105.Inp!$C107:$L107,"")=10,"","("&amp;aconcat($C107:$O107,",")&amp;"),")</f>
        <v>(NULL,NULL,106,900,396,90,72,NULL,"Menu",NULL,NULL,0,0),</v>
      </c>
    </row>
    <row r="108" spans="1:16" x14ac:dyDescent="0.3">
      <c r="A108" s="1" t="s">
        <v>246</v>
      </c>
      <c r="B108" s="1">
        <f t="shared" si="1"/>
        <v>107</v>
      </c>
    </row>
    <row r="109" spans="1:16" x14ac:dyDescent="0.3">
      <c r="A109" s="1" t="s">
        <v>246</v>
      </c>
      <c r="B109" s="1">
        <f t="shared" si="1"/>
        <v>108</v>
      </c>
    </row>
    <row r="110" spans="1:16" x14ac:dyDescent="0.3">
      <c r="A110" s="1" t="s">
        <v>246</v>
      </c>
      <c r="B110" s="1">
        <f t="shared" si="1"/>
        <v>109</v>
      </c>
    </row>
    <row r="111" spans="1:16" x14ac:dyDescent="0.3">
      <c r="A111" s="1" t="s">
        <v>246</v>
      </c>
      <c r="B111" s="1">
        <f t="shared" si="1"/>
        <v>110</v>
      </c>
    </row>
    <row r="112" spans="1:16" x14ac:dyDescent="0.3">
      <c r="A112" s="1" t="s">
        <v>246</v>
      </c>
      <c r="B112" s="1">
        <f t="shared" si="1"/>
        <v>111</v>
      </c>
    </row>
    <row r="113" spans="1:2" x14ac:dyDescent="0.3">
      <c r="A113" s="1" t="s">
        <v>246</v>
      </c>
      <c r="B113" s="1">
        <f t="shared" si="1"/>
        <v>112</v>
      </c>
    </row>
    <row r="114" spans="1:2" x14ac:dyDescent="0.3">
      <c r="A114" s="1" t="s">
        <v>246</v>
      </c>
      <c r="B114" s="1">
        <f t="shared" si="1"/>
        <v>113</v>
      </c>
    </row>
    <row r="115" spans="1:2" x14ac:dyDescent="0.3">
      <c r="A115" s="1" t="s">
        <v>246</v>
      </c>
      <c r="B115" s="1">
        <f t="shared" si="1"/>
        <v>114</v>
      </c>
    </row>
    <row r="116" spans="1:2" x14ac:dyDescent="0.3">
      <c r="A116" s="1" t="s">
        <v>246</v>
      </c>
      <c r="B116" s="1">
        <f t="shared" si="1"/>
        <v>115</v>
      </c>
    </row>
    <row r="117" spans="1:2" x14ac:dyDescent="0.3">
      <c r="A117" s="1" t="s">
        <v>246</v>
      </c>
      <c r="B117" s="1">
        <f t="shared" si="1"/>
        <v>116</v>
      </c>
    </row>
    <row r="118" spans="1:2" x14ac:dyDescent="0.3">
      <c r="A118" s="1" t="s">
        <v>246</v>
      </c>
      <c r="B118" s="1">
        <f t="shared" si="1"/>
        <v>117</v>
      </c>
    </row>
    <row r="119" spans="1:2" x14ac:dyDescent="0.3">
      <c r="A119" s="1" t="s">
        <v>246</v>
      </c>
      <c r="B119" s="1">
        <f t="shared" si="1"/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24921-EB12-4257-8D3B-9F288C7743A6}">
  <sheetPr codeName="Sheet7"/>
  <dimension ref="A1:L119"/>
  <sheetViews>
    <sheetView topLeftCell="A103" workbookViewId="0">
      <selection activeCell="A116" sqref="A116"/>
    </sheetView>
  </sheetViews>
  <sheetFormatPr defaultRowHeight="14.4" x14ac:dyDescent="0.3"/>
  <sheetData>
    <row r="1" spans="1:12" x14ac:dyDescent="0.3">
      <c r="A1" s="1" t="s">
        <v>153</v>
      </c>
      <c r="B1" s="1" t="s">
        <v>154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</row>
    <row r="2" spans="1:12" x14ac:dyDescent="0.3">
      <c r="A2" s="1" t="s">
        <v>34</v>
      </c>
      <c r="B2" s="1">
        <f t="shared" ref="B2:B65" si="0">ROW(B2)-1</f>
        <v>1</v>
      </c>
      <c r="C2" s="2">
        <v>0</v>
      </c>
      <c r="D2" s="2">
        <v>48</v>
      </c>
      <c r="E2" s="2">
        <v>72</v>
      </c>
      <c r="F2" s="2">
        <v>69</v>
      </c>
      <c r="G2" s="2" t="s">
        <v>64</v>
      </c>
      <c r="H2" s="2" t="s">
        <v>34</v>
      </c>
      <c r="I2" s="2"/>
      <c r="J2" s="2"/>
      <c r="K2" s="2">
        <v>0</v>
      </c>
      <c r="L2" s="2">
        <v>0</v>
      </c>
    </row>
    <row r="3" spans="1:12" x14ac:dyDescent="0.3">
      <c r="A3" s="1">
        <v>1</v>
      </c>
      <c r="B3" s="1">
        <f t="shared" si="0"/>
        <v>2</v>
      </c>
      <c r="C3" s="2">
        <v>72</v>
      </c>
      <c r="D3" s="2">
        <v>48</v>
      </c>
      <c r="E3" s="2">
        <v>72</v>
      </c>
      <c r="F3" s="2">
        <v>69</v>
      </c>
      <c r="G3" s="2" t="s">
        <v>15</v>
      </c>
      <c r="H3" s="2">
        <v>1</v>
      </c>
      <c r="I3" s="2"/>
      <c r="J3" s="2"/>
      <c r="K3" s="2">
        <v>0</v>
      </c>
      <c r="L3" s="2">
        <v>0</v>
      </c>
    </row>
    <row r="4" spans="1:12" x14ac:dyDescent="0.3">
      <c r="A4" s="1">
        <v>2</v>
      </c>
      <c r="B4" s="1">
        <f t="shared" si="0"/>
        <v>3</v>
      </c>
      <c r="C4" s="2">
        <v>144</v>
      </c>
      <c r="D4" s="2">
        <v>48</v>
      </c>
      <c r="E4" s="2">
        <v>72</v>
      </c>
      <c r="F4" s="2">
        <v>69</v>
      </c>
      <c r="G4" s="2" t="s">
        <v>40</v>
      </c>
      <c r="H4" s="2">
        <v>2</v>
      </c>
      <c r="I4" s="2"/>
      <c r="J4" s="2"/>
      <c r="K4" s="2">
        <v>0</v>
      </c>
      <c r="L4" s="2">
        <v>0</v>
      </c>
    </row>
    <row r="5" spans="1:12" x14ac:dyDescent="0.3">
      <c r="A5" s="1">
        <v>3</v>
      </c>
      <c r="B5" s="1">
        <f t="shared" si="0"/>
        <v>4</v>
      </c>
      <c r="C5" s="2">
        <v>216</v>
      </c>
      <c r="D5" s="2">
        <v>48</v>
      </c>
      <c r="E5" s="2">
        <v>72</v>
      </c>
      <c r="F5" s="2">
        <v>69</v>
      </c>
      <c r="G5" s="2" t="s">
        <v>16</v>
      </c>
      <c r="H5" s="2">
        <v>3</v>
      </c>
      <c r="I5" s="2"/>
      <c r="J5" s="2"/>
      <c r="K5" s="2">
        <v>0</v>
      </c>
      <c r="L5" s="2">
        <v>0</v>
      </c>
    </row>
    <row r="6" spans="1:12" x14ac:dyDescent="0.3">
      <c r="A6" s="1">
        <v>4</v>
      </c>
      <c r="B6" s="1">
        <f t="shared" si="0"/>
        <v>5</v>
      </c>
      <c r="C6" s="2">
        <v>288</v>
      </c>
      <c r="D6" s="2">
        <v>48</v>
      </c>
      <c r="E6" s="2">
        <v>72</v>
      </c>
      <c r="F6" s="2">
        <v>69</v>
      </c>
      <c r="G6" s="2" t="s">
        <v>20</v>
      </c>
      <c r="H6" s="2">
        <v>4</v>
      </c>
      <c r="I6" s="2"/>
      <c r="J6" s="2"/>
      <c r="K6" s="2">
        <v>0</v>
      </c>
      <c r="L6" s="2">
        <v>0</v>
      </c>
    </row>
    <row r="7" spans="1:12" x14ac:dyDescent="0.3">
      <c r="A7" s="1">
        <v>5</v>
      </c>
      <c r="B7" s="1">
        <f t="shared" si="0"/>
        <v>6</v>
      </c>
      <c r="C7" s="2">
        <v>360</v>
      </c>
      <c r="D7" s="2">
        <v>48</v>
      </c>
      <c r="E7" s="2">
        <v>72</v>
      </c>
      <c r="F7" s="2">
        <v>69</v>
      </c>
      <c r="G7" s="2" t="s">
        <v>21</v>
      </c>
      <c r="H7" s="2">
        <v>5</v>
      </c>
      <c r="I7" s="2"/>
      <c r="J7" s="2"/>
      <c r="K7" s="2">
        <v>0</v>
      </c>
      <c r="L7" s="2">
        <v>0</v>
      </c>
    </row>
    <row r="8" spans="1:12" x14ac:dyDescent="0.3">
      <c r="A8" s="1">
        <v>6</v>
      </c>
      <c r="B8" s="1">
        <f t="shared" si="0"/>
        <v>7</v>
      </c>
      <c r="C8" s="2">
        <v>432</v>
      </c>
      <c r="D8" s="2">
        <v>48</v>
      </c>
      <c r="E8" s="2">
        <v>72</v>
      </c>
      <c r="F8" s="2">
        <v>69</v>
      </c>
      <c r="G8" s="2" t="s">
        <v>14</v>
      </c>
      <c r="H8" s="2">
        <v>6</v>
      </c>
      <c r="I8" s="2"/>
      <c r="J8" s="2"/>
      <c r="K8" s="2">
        <v>0</v>
      </c>
      <c r="L8" s="2">
        <v>0</v>
      </c>
    </row>
    <row r="9" spans="1:12" x14ac:dyDescent="0.3">
      <c r="A9" s="1">
        <v>7</v>
      </c>
      <c r="B9" s="1">
        <f t="shared" si="0"/>
        <v>8</v>
      </c>
      <c r="C9" s="2">
        <v>504</v>
      </c>
      <c r="D9" s="2">
        <v>48</v>
      </c>
      <c r="E9" s="2">
        <v>72</v>
      </c>
      <c r="F9" s="2">
        <v>69</v>
      </c>
      <c r="G9" s="2" t="s">
        <v>22</v>
      </c>
      <c r="H9" s="2">
        <v>7</v>
      </c>
      <c r="I9" s="2"/>
      <c r="J9" s="2"/>
      <c r="K9" s="2">
        <v>0</v>
      </c>
      <c r="L9" s="2">
        <v>0</v>
      </c>
    </row>
    <row r="10" spans="1:12" x14ac:dyDescent="0.3">
      <c r="A10" s="1">
        <v>8</v>
      </c>
      <c r="B10" s="1">
        <f t="shared" si="0"/>
        <v>9</v>
      </c>
      <c r="C10" s="2">
        <v>576</v>
      </c>
      <c r="D10" s="2">
        <v>48</v>
      </c>
      <c r="E10" s="2">
        <v>72</v>
      </c>
      <c r="F10" s="2">
        <v>69</v>
      </c>
      <c r="G10" s="2" t="s">
        <v>62</v>
      </c>
      <c r="H10" s="2">
        <v>8</v>
      </c>
      <c r="I10" s="2"/>
      <c r="J10" s="2"/>
      <c r="K10" s="2">
        <v>0</v>
      </c>
      <c r="L10" s="2">
        <v>0</v>
      </c>
    </row>
    <row r="11" spans="1:12" x14ac:dyDescent="0.3">
      <c r="A11" s="1">
        <v>9</v>
      </c>
      <c r="B11" s="1">
        <f t="shared" si="0"/>
        <v>10</v>
      </c>
      <c r="C11" s="2">
        <v>648</v>
      </c>
      <c r="D11" s="2">
        <v>48</v>
      </c>
      <c r="E11" s="2">
        <v>72</v>
      </c>
      <c r="F11" s="2">
        <v>69</v>
      </c>
      <c r="G11" s="2" t="s">
        <v>25</v>
      </c>
      <c r="H11" s="2">
        <v>9</v>
      </c>
      <c r="I11" s="2"/>
      <c r="J11" s="2"/>
      <c r="K11" s="2">
        <v>0</v>
      </c>
      <c r="L11" s="2">
        <v>0</v>
      </c>
    </row>
    <row r="12" spans="1:12" x14ac:dyDescent="0.3">
      <c r="A12" s="1">
        <v>0</v>
      </c>
      <c r="B12" s="1">
        <f t="shared" si="0"/>
        <v>11</v>
      </c>
      <c r="C12" s="2">
        <v>720</v>
      </c>
      <c r="D12" s="2">
        <v>48</v>
      </c>
      <c r="E12" s="2">
        <v>72</v>
      </c>
      <c r="F12" s="2">
        <v>69</v>
      </c>
      <c r="G12" s="2" t="s">
        <v>27</v>
      </c>
      <c r="H12" s="2">
        <v>0</v>
      </c>
      <c r="I12" s="2"/>
      <c r="J12" s="2"/>
      <c r="K12" s="2">
        <v>0</v>
      </c>
      <c r="L12" s="2">
        <v>0</v>
      </c>
    </row>
    <row r="13" spans="1:12" x14ac:dyDescent="0.3">
      <c r="A13" s="1" t="s">
        <v>114</v>
      </c>
      <c r="B13" s="1">
        <f t="shared" si="0"/>
        <v>12</v>
      </c>
      <c r="C13" s="2">
        <v>792</v>
      </c>
      <c r="D13" s="2">
        <v>48</v>
      </c>
      <c r="E13" s="2">
        <v>72</v>
      </c>
      <c r="F13" s="2">
        <v>69</v>
      </c>
      <c r="G13" s="2" t="s">
        <v>113</v>
      </c>
      <c r="H13" s="2" t="s">
        <v>114</v>
      </c>
      <c r="I13" s="2"/>
      <c r="J13" s="2"/>
      <c r="K13" s="2">
        <v>0</v>
      </c>
      <c r="L13" s="2">
        <v>0</v>
      </c>
    </row>
    <row r="14" spans="1:12" x14ac:dyDescent="0.3">
      <c r="A14" s="1" t="s">
        <v>29</v>
      </c>
      <c r="B14" s="1">
        <f t="shared" si="0"/>
        <v>13</v>
      </c>
      <c r="C14" s="2">
        <v>864</v>
      </c>
      <c r="D14" s="2">
        <v>48</v>
      </c>
      <c r="E14" s="2">
        <v>72</v>
      </c>
      <c r="F14" s="2">
        <v>69</v>
      </c>
      <c r="G14" s="2" t="s">
        <v>63</v>
      </c>
      <c r="H14" s="2" t="s">
        <v>29</v>
      </c>
      <c r="I14" s="2"/>
      <c r="J14" s="2"/>
      <c r="K14" s="2">
        <v>0</v>
      </c>
      <c r="L14" s="2">
        <v>0</v>
      </c>
    </row>
    <row r="15" spans="1:12" x14ac:dyDescent="0.3">
      <c r="A15" s="1" t="s">
        <v>173</v>
      </c>
      <c r="B15" s="1">
        <f t="shared" si="0"/>
        <v>14</v>
      </c>
      <c r="C15" s="2">
        <v>936</v>
      </c>
      <c r="D15" s="2">
        <v>48</v>
      </c>
      <c r="E15" s="2">
        <v>108</v>
      </c>
      <c r="F15" s="2">
        <v>69</v>
      </c>
      <c r="G15" s="2"/>
      <c r="H15" s="2" t="s">
        <v>173</v>
      </c>
      <c r="I15" s="2"/>
      <c r="J15" s="2"/>
      <c r="K15" s="2">
        <v>0</v>
      </c>
      <c r="L15" s="2">
        <v>0</v>
      </c>
    </row>
    <row r="16" spans="1:12" x14ac:dyDescent="0.3">
      <c r="A16" s="1" t="s">
        <v>164</v>
      </c>
      <c r="B16" s="1">
        <f t="shared" si="0"/>
        <v>15</v>
      </c>
      <c r="C16" s="2">
        <v>0</v>
      </c>
      <c r="D16" s="2">
        <v>117</v>
      </c>
      <c r="E16" s="2">
        <v>108</v>
      </c>
      <c r="F16" s="2">
        <v>69</v>
      </c>
      <c r="G16" s="2"/>
      <c r="H16" s="2" t="s">
        <v>164</v>
      </c>
      <c r="I16" s="2"/>
      <c r="J16" s="2"/>
      <c r="K16" s="2">
        <v>0</v>
      </c>
      <c r="L16" s="2">
        <v>0</v>
      </c>
    </row>
    <row r="17" spans="1:12" x14ac:dyDescent="0.3">
      <c r="A17" s="1" t="s">
        <v>39</v>
      </c>
      <c r="B17" s="1">
        <f t="shared" si="0"/>
        <v>16</v>
      </c>
      <c r="C17" s="2">
        <v>108</v>
      </c>
      <c r="D17" s="2">
        <v>117</v>
      </c>
      <c r="E17" s="2">
        <v>72</v>
      </c>
      <c r="F17" s="2">
        <v>69</v>
      </c>
      <c r="G17" s="2" t="s">
        <v>38</v>
      </c>
      <c r="H17" s="2" t="s">
        <v>39</v>
      </c>
      <c r="I17" s="2"/>
      <c r="J17" s="2"/>
      <c r="K17" s="2">
        <v>1</v>
      </c>
      <c r="L17" s="2">
        <v>0</v>
      </c>
    </row>
    <row r="18" spans="1:12" x14ac:dyDescent="0.3">
      <c r="A18" s="1" t="s">
        <v>42</v>
      </c>
      <c r="B18" s="1">
        <f t="shared" si="0"/>
        <v>17</v>
      </c>
      <c r="C18" s="2">
        <v>180</v>
      </c>
      <c r="D18" s="2">
        <v>117</v>
      </c>
      <c r="E18" s="2">
        <v>72</v>
      </c>
      <c r="F18" s="2">
        <v>69</v>
      </c>
      <c r="G18" s="2" t="s">
        <v>41</v>
      </c>
      <c r="H18" s="2" t="s">
        <v>42</v>
      </c>
      <c r="I18" s="2"/>
      <c r="J18" s="2"/>
      <c r="K18" s="2">
        <v>1</v>
      </c>
      <c r="L18" s="2">
        <v>0</v>
      </c>
    </row>
    <row r="19" spans="1:12" x14ac:dyDescent="0.3">
      <c r="A19" s="1" t="s">
        <v>44</v>
      </c>
      <c r="B19" s="1">
        <f t="shared" si="0"/>
        <v>18</v>
      </c>
      <c r="C19" s="2">
        <v>252</v>
      </c>
      <c r="D19" s="2">
        <v>117</v>
      </c>
      <c r="E19" s="2">
        <v>72</v>
      </c>
      <c r="F19" s="2">
        <v>69</v>
      </c>
      <c r="G19" s="2" t="s">
        <v>43</v>
      </c>
      <c r="H19" s="2" t="s">
        <v>44</v>
      </c>
      <c r="I19" s="2"/>
      <c r="J19" s="2"/>
      <c r="K19" s="2">
        <v>1</v>
      </c>
      <c r="L19" s="2">
        <v>0</v>
      </c>
    </row>
    <row r="20" spans="1:12" x14ac:dyDescent="0.3">
      <c r="A20" s="1" t="s">
        <v>47</v>
      </c>
      <c r="B20" s="1">
        <f t="shared" si="0"/>
        <v>19</v>
      </c>
      <c r="C20" s="2">
        <v>324</v>
      </c>
      <c r="D20" s="2">
        <v>117</v>
      </c>
      <c r="E20" s="2">
        <v>72</v>
      </c>
      <c r="F20" s="2">
        <v>69</v>
      </c>
      <c r="G20" s="2" t="s">
        <v>46</v>
      </c>
      <c r="H20" s="2" t="s">
        <v>47</v>
      </c>
      <c r="I20" s="2"/>
      <c r="J20" s="2"/>
      <c r="K20" s="2">
        <v>1</v>
      </c>
      <c r="L20" s="2">
        <v>0</v>
      </c>
    </row>
    <row r="21" spans="1:12" x14ac:dyDescent="0.3">
      <c r="A21" s="1" t="s">
        <v>49</v>
      </c>
      <c r="B21" s="1">
        <f t="shared" si="0"/>
        <v>20</v>
      </c>
      <c r="C21" s="2">
        <v>396</v>
      </c>
      <c r="D21" s="2">
        <v>117</v>
      </c>
      <c r="E21" s="2">
        <v>72</v>
      </c>
      <c r="F21" s="2">
        <v>69</v>
      </c>
      <c r="G21" s="2" t="s">
        <v>48</v>
      </c>
      <c r="H21" s="2" t="s">
        <v>49</v>
      </c>
      <c r="I21" s="2"/>
      <c r="J21" s="2"/>
      <c r="K21" s="2">
        <v>1</v>
      </c>
      <c r="L21" s="2">
        <v>0</v>
      </c>
    </row>
    <row r="22" spans="1:12" x14ac:dyDescent="0.3">
      <c r="A22" s="1" t="s">
        <v>95</v>
      </c>
      <c r="B22" s="1">
        <f t="shared" si="0"/>
        <v>21</v>
      </c>
      <c r="C22" s="2">
        <v>468</v>
      </c>
      <c r="D22" s="2">
        <v>117</v>
      </c>
      <c r="E22" s="2">
        <v>72</v>
      </c>
      <c r="F22" s="2">
        <v>69</v>
      </c>
      <c r="G22" s="2" t="s">
        <v>94</v>
      </c>
      <c r="H22" s="2" t="s">
        <v>95</v>
      </c>
      <c r="I22" s="2"/>
      <c r="J22" s="2"/>
      <c r="K22" s="2">
        <v>1</v>
      </c>
      <c r="L22" s="2">
        <v>0</v>
      </c>
    </row>
    <row r="23" spans="1:12" x14ac:dyDescent="0.3">
      <c r="A23" s="1" t="s">
        <v>53</v>
      </c>
      <c r="B23" s="1">
        <f t="shared" si="0"/>
        <v>22</v>
      </c>
      <c r="C23" s="2">
        <v>540</v>
      </c>
      <c r="D23" s="2">
        <v>117</v>
      </c>
      <c r="E23" s="2">
        <v>72</v>
      </c>
      <c r="F23" s="2">
        <v>69</v>
      </c>
      <c r="G23" s="2" t="s">
        <v>52</v>
      </c>
      <c r="H23" s="2" t="s">
        <v>53</v>
      </c>
      <c r="I23" s="2"/>
      <c r="J23" s="2"/>
      <c r="K23" s="2">
        <v>1</v>
      </c>
      <c r="L23" s="2">
        <v>0</v>
      </c>
    </row>
    <row r="24" spans="1:12" x14ac:dyDescent="0.3">
      <c r="A24" s="1" t="s">
        <v>55</v>
      </c>
      <c r="B24" s="1">
        <f t="shared" si="0"/>
        <v>23</v>
      </c>
      <c r="C24" s="2">
        <v>612</v>
      </c>
      <c r="D24" s="2">
        <v>117</v>
      </c>
      <c r="E24" s="2">
        <v>72</v>
      </c>
      <c r="F24" s="2">
        <v>69</v>
      </c>
      <c r="G24" s="2" t="s">
        <v>54</v>
      </c>
      <c r="H24" s="2" t="s">
        <v>55</v>
      </c>
      <c r="I24" s="2"/>
      <c r="J24" s="2"/>
      <c r="K24" s="2">
        <v>1</v>
      </c>
      <c r="L24" s="2">
        <v>0</v>
      </c>
    </row>
    <row r="25" spans="1:12" x14ac:dyDescent="0.3">
      <c r="A25" s="1" t="s">
        <v>57</v>
      </c>
      <c r="B25" s="1">
        <f t="shared" si="0"/>
        <v>24</v>
      </c>
      <c r="C25" s="2">
        <v>684</v>
      </c>
      <c r="D25" s="2">
        <v>117</v>
      </c>
      <c r="E25" s="2">
        <v>72</v>
      </c>
      <c r="F25" s="2">
        <v>69</v>
      </c>
      <c r="G25" s="2" t="s">
        <v>56</v>
      </c>
      <c r="H25" s="2" t="s">
        <v>57</v>
      </c>
      <c r="I25" s="2"/>
      <c r="J25" s="2"/>
      <c r="K25" s="2">
        <v>1</v>
      </c>
      <c r="L25" s="2">
        <v>0</v>
      </c>
    </row>
    <row r="26" spans="1:12" x14ac:dyDescent="0.3">
      <c r="A26" s="1" t="s">
        <v>59</v>
      </c>
      <c r="B26" s="1">
        <f t="shared" si="0"/>
        <v>25</v>
      </c>
      <c r="C26" s="2">
        <v>756</v>
      </c>
      <c r="D26" s="2">
        <v>117</v>
      </c>
      <c r="E26" s="2">
        <v>72</v>
      </c>
      <c r="F26" s="2">
        <v>69</v>
      </c>
      <c r="G26" s="2" t="s">
        <v>58</v>
      </c>
      <c r="H26" s="2" t="s">
        <v>59</v>
      </c>
      <c r="I26" s="2"/>
      <c r="J26" s="2"/>
      <c r="K26" s="2">
        <v>1</v>
      </c>
      <c r="L26" s="2">
        <v>0</v>
      </c>
    </row>
    <row r="27" spans="1:12" x14ac:dyDescent="0.3">
      <c r="A27" s="1" t="s">
        <v>26</v>
      </c>
      <c r="B27" s="1">
        <f t="shared" si="0"/>
        <v>26</v>
      </c>
      <c r="C27" s="2">
        <v>828</v>
      </c>
      <c r="D27" s="2">
        <v>117</v>
      </c>
      <c r="E27" s="2">
        <v>72</v>
      </c>
      <c r="F27" s="2">
        <v>69</v>
      </c>
      <c r="G27" s="2" t="s">
        <v>24</v>
      </c>
      <c r="H27" s="2" t="s">
        <v>26</v>
      </c>
      <c r="I27" s="2"/>
      <c r="J27" s="2"/>
      <c r="K27" s="2">
        <v>0</v>
      </c>
      <c r="L27" s="2">
        <v>0</v>
      </c>
    </row>
    <row r="28" spans="1:12" x14ac:dyDescent="0.3">
      <c r="A28" s="1" t="s">
        <v>28</v>
      </c>
      <c r="B28" s="1">
        <f t="shared" si="0"/>
        <v>27</v>
      </c>
      <c r="C28" s="2">
        <v>900</v>
      </c>
      <c r="D28" s="2">
        <v>117</v>
      </c>
      <c r="E28" s="2">
        <v>72</v>
      </c>
      <c r="F28" s="2">
        <v>69</v>
      </c>
      <c r="G28" s="2" t="s">
        <v>30</v>
      </c>
      <c r="H28" s="2" t="s">
        <v>28</v>
      </c>
      <c r="I28" s="2"/>
      <c r="J28" s="2"/>
      <c r="K28" s="2">
        <v>0</v>
      </c>
      <c r="L28" s="2">
        <v>0</v>
      </c>
    </row>
    <row r="29" spans="1:12" x14ac:dyDescent="0.3">
      <c r="A29" s="1" t="s">
        <v>200</v>
      </c>
      <c r="B29" s="1">
        <f t="shared" si="0"/>
        <v>28</v>
      </c>
      <c r="C29" s="2">
        <v>972</v>
      </c>
      <c r="D29" s="2">
        <v>117</v>
      </c>
      <c r="E29" s="2">
        <v>72</v>
      </c>
      <c r="F29" s="2">
        <v>69</v>
      </c>
      <c r="G29" s="2" t="s">
        <v>93</v>
      </c>
      <c r="H29" s="9" t="s">
        <v>200</v>
      </c>
      <c r="I29" s="2"/>
      <c r="J29" s="2"/>
      <c r="K29" s="2">
        <v>0</v>
      </c>
      <c r="L29" s="2">
        <v>0</v>
      </c>
    </row>
    <row r="30" spans="1:12" x14ac:dyDescent="0.3">
      <c r="A30" s="1" t="s">
        <v>166</v>
      </c>
      <c r="B30" s="1">
        <f t="shared" si="0"/>
        <v>29</v>
      </c>
      <c r="C30" s="2">
        <v>0</v>
      </c>
      <c r="D30" s="2">
        <v>186</v>
      </c>
      <c r="E30" s="2">
        <v>126</v>
      </c>
      <c r="F30" s="2">
        <v>69</v>
      </c>
      <c r="G30" s="2"/>
      <c r="H30" s="2" t="s">
        <v>166</v>
      </c>
      <c r="I30" s="2"/>
      <c r="J30" s="2"/>
      <c r="K30" s="2">
        <v>0</v>
      </c>
      <c r="L30" s="2">
        <v>0</v>
      </c>
    </row>
    <row r="31" spans="1:12" x14ac:dyDescent="0.3">
      <c r="A31" s="1" t="s">
        <v>67</v>
      </c>
      <c r="B31" s="1">
        <f t="shared" si="0"/>
        <v>30</v>
      </c>
      <c r="C31" s="2">
        <v>126</v>
      </c>
      <c r="D31" s="2">
        <v>186</v>
      </c>
      <c r="E31" s="2">
        <v>72</v>
      </c>
      <c r="F31" s="2">
        <v>69</v>
      </c>
      <c r="G31" s="2" t="s">
        <v>66</v>
      </c>
      <c r="H31" s="2" t="s">
        <v>67</v>
      </c>
      <c r="I31" s="2"/>
      <c r="J31" s="2"/>
      <c r="K31" s="2">
        <v>1</v>
      </c>
      <c r="L31" s="2">
        <v>0</v>
      </c>
    </row>
    <row r="32" spans="1:12" x14ac:dyDescent="0.3">
      <c r="A32" s="1" t="s">
        <v>69</v>
      </c>
      <c r="B32" s="1">
        <f t="shared" si="0"/>
        <v>31</v>
      </c>
      <c r="C32" s="2">
        <v>198</v>
      </c>
      <c r="D32" s="2">
        <v>186</v>
      </c>
      <c r="E32" s="2">
        <v>72</v>
      </c>
      <c r="F32" s="2">
        <v>69</v>
      </c>
      <c r="G32" s="2" t="s">
        <v>68</v>
      </c>
      <c r="H32" s="2" t="s">
        <v>69</v>
      </c>
      <c r="I32" s="2"/>
      <c r="J32" s="2"/>
      <c r="K32" s="2">
        <v>1</v>
      </c>
      <c r="L32" s="2">
        <v>0</v>
      </c>
    </row>
    <row r="33" spans="1:12" x14ac:dyDescent="0.3">
      <c r="A33" s="1" t="s">
        <v>71</v>
      </c>
      <c r="B33" s="1">
        <f t="shared" si="0"/>
        <v>32</v>
      </c>
      <c r="C33" s="2">
        <v>270</v>
      </c>
      <c r="D33" s="2">
        <v>186</v>
      </c>
      <c r="E33" s="2">
        <v>72</v>
      </c>
      <c r="F33" s="2">
        <v>69</v>
      </c>
      <c r="G33" s="2" t="s">
        <v>70</v>
      </c>
      <c r="H33" s="2" t="s">
        <v>71</v>
      </c>
      <c r="I33" s="2"/>
      <c r="J33" s="2"/>
      <c r="K33" s="2">
        <v>1</v>
      </c>
      <c r="L33" s="2">
        <v>0</v>
      </c>
    </row>
    <row r="34" spans="1:12" x14ac:dyDescent="0.3">
      <c r="A34" s="1" t="s">
        <v>73</v>
      </c>
      <c r="B34" s="1">
        <f t="shared" si="0"/>
        <v>33</v>
      </c>
      <c r="C34" s="2">
        <v>342</v>
      </c>
      <c r="D34" s="2">
        <v>186</v>
      </c>
      <c r="E34" s="2">
        <v>72</v>
      </c>
      <c r="F34" s="2">
        <v>69</v>
      </c>
      <c r="G34" s="2" t="s">
        <v>72</v>
      </c>
      <c r="H34" s="2" t="s">
        <v>73</v>
      </c>
      <c r="I34" s="2"/>
      <c r="J34" s="2"/>
      <c r="K34" s="2">
        <v>1</v>
      </c>
      <c r="L34" s="2">
        <v>0</v>
      </c>
    </row>
    <row r="35" spans="1:12" x14ac:dyDescent="0.3">
      <c r="A35" s="1" t="s">
        <v>75</v>
      </c>
      <c r="B35" s="1">
        <f t="shared" si="0"/>
        <v>34</v>
      </c>
      <c r="C35" s="2">
        <v>414</v>
      </c>
      <c r="D35" s="2">
        <v>186</v>
      </c>
      <c r="E35" s="2">
        <v>72</v>
      </c>
      <c r="F35" s="2">
        <v>69</v>
      </c>
      <c r="G35" s="2" t="s">
        <v>74</v>
      </c>
      <c r="H35" s="2" t="s">
        <v>75</v>
      </c>
      <c r="I35" s="2"/>
      <c r="J35" s="2"/>
      <c r="K35" s="2">
        <v>1</v>
      </c>
      <c r="L35" s="2">
        <v>0</v>
      </c>
    </row>
    <row r="36" spans="1:12" x14ac:dyDescent="0.3">
      <c r="A36" s="1" t="s">
        <v>77</v>
      </c>
      <c r="B36" s="1">
        <f t="shared" si="0"/>
        <v>35</v>
      </c>
      <c r="C36" s="2">
        <v>486</v>
      </c>
      <c r="D36" s="2">
        <v>186</v>
      </c>
      <c r="E36" s="2">
        <v>72</v>
      </c>
      <c r="F36" s="2">
        <v>69</v>
      </c>
      <c r="G36" s="2" t="s">
        <v>76</v>
      </c>
      <c r="H36" s="2" t="s">
        <v>77</v>
      </c>
      <c r="I36" s="2"/>
      <c r="J36" s="2"/>
      <c r="K36" s="2">
        <v>1</v>
      </c>
      <c r="L36" s="2">
        <v>0</v>
      </c>
    </row>
    <row r="37" spans="1:12" x14ac:dyDescent="0.3">
      <c r="A37" s="1" t="s">
        <v>79</v>
      </c>
      <c r="B37" s="1">
        <f t="shared" si="0"/>
        <v>36</v>
      </c>
      <c r="C37" s="2">
        <v>558</v>
      </c>
      <c r="D37" s="2">
        <v>186</v>
      </c>
      <c r="E37" s="2">
        <v>72</v>
      </c>
      <c r="F37" s="2">
        <v>69</v>
      </c>
      <c r="G37" s="2" t="s">
        <v>78</v>
      </c>
      <c r="H37" s="2" t="s">
        <v>79</v>
      </c>
      <c r="I37" s="2"/>
      <c r="J37" s="2"/>
      <c r="K37" s="2">
        <v>1</v>
      </c>
      <c r="L37" s="2">
        <v>0</v>
      </c>
    </row>
    <row r="38" spans="1:12" x14ac:dyDescent="0.3">
      <c r="A38" s="1" t="s">
        <v>81</v>
      </c>
      <c r="B38" s="1">
        <f t="shared" si="0"/>
        <v>37</v>
      </c>
      <c r="C38" s="2">
        <v>630</v>
      </c>
      <c r="D38" s="2">
        <v>186</v>
      </c>
      <c r="E38" s="2">
        <v>72</v>
      </c>
      <c r="F38" s="2">
        <v>69</v>
      </c>
      <c r="G38" s="2" t="s">
        <v>80</v>
      </c>
      <c r="H38" s="2" t="s">
        <v>81</v>
      </c>
      <c r="I38" s="2"/>
      <c r="J38" s="2"/>
      <c r="K38" s="2">
        <v>1</v>
      </c>
      <c r="L38" s="2">
        <v>0</v>
      </c>
    </row>
    <row r="39" spans="1:12" x14ac:dyDescent="0.3">
      <c r="A39" s="1" t="s">
        <v>83</v>
      </c>
      <c r="B39" s="1">
        <f t="shared" si="0"/>
        <v>38</v>
      </c>
      <c r="C39" s="2">
        <v>702</v>
      </c>
      <c r="D39" s="2">
        <v>186</v>
      </c>
      <c r="E39" s="2">
        <v>72</v>
      </c>
      <c r="F39" s="2">
        <v>69</v>
      </c>
      <c r="G39" s="2" t="s">
        <v>82</v>
      </c>
      <c r="H39" s="2" t="s">
        <v>83</v>
      </c>
      <c r="I39" s="2"/>
      <c r="J39" s="2"/>
      <c r="K39" s="2">
        <v>1</v>
      </c>
      <c r="L39" s="2">
        <v>0</v>
      </c>
    </row>
    <row r="40" spans="1:12" x14ac:dyDescent="0.3">
      <c r="A40" s="1" t="s">
        <v>109</v>
      </c>
      <c r="B40" s="1">
        <f t="shared" si="0"/>
        <v>39</v>
      </c>
      <c r="C40" s="2">
        <v>774</v>
      </c>
      <c r="D40" s="2">
        <v>186</v>
      </c>
      <c r="E40" s="2">
        <v>72</v>
      </c>
      <c r="F40" s="2">
        <v>69</v>
      </c>
      <c r="G40" s="2" t="s">
        <v>111</v>
      </c>
      <c r="H40" s="2" t="s">
        <v>109</v>
      </c>
      <c r="I40" s="2"/>
      <c r="J40" s="2"/>
      <c r="K40" s="2">
        <v>0</v>
      </c>
      <c r="L40" s="2">
        <v>0</v>
      </c>
    </row>
    <row r="41" spans="1:12" x14ac:dyDescent="0.3">
      <c r="A41" s="1" t="s">
        <v>244</v>
      </c>
      <c r="B41" s="1">
        <f t="shared" si="0"/>
        <v>40</v>
      </c>
      <c r="C41" s="2">
        <v>846</v>
      </c>
      <c r="D41" s="2">
        <v>186</v>
      </c>
      <c r="E41" s="2">
        <v>72</v>
      </c>
      <c r="F41" s="2">
        <v>69</v>
      </c>
      <c r="G41" s="9" t="s">
        <v>199</v>
      </c>
      <c r="H41" s="10" t="s">
        <v>244</v>
      </c>
      <c r="I41" s="2"/>
      <c r="J41" s="2"/>
      <c r="K41" s="2">
        <v>0</v>
      </c>
      <c r="L41" s="2">
        <v>0</v>
      </c>
    </row>
    <row r="42" spans="1:12" x14ac:dyDescent="0.3">
      <c r="A42" s="1" t="s">
        <v>246</v>
      </c>
      <c r="B42" s="1">
        <f t="shared" si="0"/>
        <v>41</v>
      </c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3">
      <c r="A43" s="1" t="s">
        <v>167</v>
      </c>
      <c r="B43" s="1">
        <f t="shared" si="0"/>
        <v>42</v>
      </c>
      <c r="C43" s="2">
        <v>918</v>
      </c>
      <c r="D43" s="2">
        <v>186</v>
      </c>
      <c r="E43" s="2">
        <v>126</v>
      </c>
      <c r="F43" s="2">
        <v>69</v>
      </c>
      <c r="G43" s="2"/>
      <c r="H43" s="2" t="s">
        <v>167</v>
      </c>
      <c r="I43" s="2"/>
      <c r="J43" s="2"/>
      <c r="K43" s="2">
        <v>0</v>
      </c>
      <c r="L43" s="2">
        <v>0</v>
      </c>
    </row>
    <row r="44" spans="1:12" x14ac:dyDescent="0.3">
      <c r="A44" s="1" t="s">
        <v>168</v>
      </c>
      <c r="B44" s="1">
        <f t="shared" si="0"/>
        <v>43</v>
      </c>
      <c r="C44" s="2">
        <v>0</v>
      </c>
      <c r="D44" s="2">
        <v>255</v>
      </c>
      <c r="E44" s="2">
        <v>162</v>
      </c>
      <c r="F44" s="2">
        <v>69</v>
      </c>
      <c r="G44" s="2"/>
      <c r="H44" s="2" t="s">
        <v>168</v>
      </c>
      <c r="I44" s="2"/>
      <c r="J44" s="2"/>
      <c r="K44" s="2">
        <v>0</v>
      </c>
      <c r="L44" s="2">
        <v>0</v>
      </c>
    </row>
    <row r="45" spans="1:12" x14ac:dyDescent="0.3">
      <c r="A45" s="1" t="s">
        <v>246</v>
      </c>
      <c r="B45" s="1">
        <f t="shared" si="0"/>
        <v>44</v>
      </c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">
      <c r="A46" s="1" t="s">
        <v>51</v>
      </c>
      <c r="B46" s="1">
        <f t="shared" si="0"/>
        <v>45</v>
      </c>
      <c r="C46" s="2">
        <v>162</v>
      </c>
      <c r="D46" s="2">
        <v>255</v>
      </c>
      <c r="E46" s="2">
        <v>72</v>
      </c>
      <c r="F46" s="2">
        <v>69</v>
      </c>
      <c r="G46" s="2" t="s">
        <v>50</v>
      </c>
      <c r="H46" s="2" t="s">
        <v>51</v>
      </c>
      <c r="I46" s="2"/>
      <c r="J46" s="2"/>
      <c r="K46" s="2">
        <v>1</v>
      </c>
      <c r="L46" s="2">
        <v>0</v>
      </c>
    </row>
    <row r="47" spans="1:12" x14ac:dyDescent="0.3">
      <c r="A47" s="1" t="s">
        <v>97</v>
      </c>
      <c r="B47" s="1">
        <f t="shared" si="0"/>
        <v>46</v>
      </c>
      <c r="C47" s="2">
        <v>234</v>
      </c>
      <c r="D47" s="2">
        <v>255</v>
      </c>
      <c r="E47" s="2">
        <v>72</v>
      </c>
      <c r="F47" s="2">
        <v>69</v>
      </c>
      <c r="G47" s="2" t="s">
        <v>96</v>
      </c>
      <c r="H47" s="2" t="s">
        <v>97</v>
      </c>
      <c r="I47" s="2"/>
      <c r="J47" s="2"/>
      <c r="K47" s="2">
        <v>1</v>
      </c>
      <c r="L47" s="2">
        <v>0</v>
      </c>
    </row>
    <row r="48" spans="1:12" x14ac:dyDescent="0.3">
      <c r="A48" s="1" t="s">
        <v>99</v>
      </c>
      <c r="B48" s="1">
        <f t="shared" si="0"/>
        <v>47</v>
      </c>
      <c r="C48" s="2">
        <v>306</v>
      </c>
      <c r="D48" s="2">
        <v>255</v>
      </c>
      <c r="E48" s="2">
        <v>72</v>
      </c>
      <c r="F48" s="2">
        <v>69</v>
      </c>
      <c r="G48" s="2" t="s">
        <v>98</v>
      </c>
      <c r="H48" s="2" t="s">
        <v>99</v>
      </c>
      <c r="I48" s="2"/>
      <c r="J48" s="2"/>
      <c r="K48" s="2">
        <v>1</v>
      </c>
      <c r="L48" s="2">
        <v>0</v>
      </c>
    </row>
    <row r="49" spans="1:12" x14ac:dyDescent="0.3">
      <c r="A49" s="1" t="s">
        <v>101</v>
      </c>
      <c r="B49" s="1">
        <f t="shared" si="0"/>
        <v>48</v>
      </c>
      <c r="C49" s="2">
        <v>378</v>
      </c>
      <c r="D49" s="2">
        <v>255</v>
      </c>
      <c r="E49" s="2">
        <v>72</v>
      </c>
      <c r="F49" s="2">
        <v>69</v>
      </c>
      <c r="G49" s="2" t="s">
        <v>100</v>
      </c>
      <c r="H49" s="2" t="s">
        <v>101</v>
      </c>
      <c r="I49" s="2"/>
      <c r="J49" s="2"/>
      <c r="K49" s="2">
        <v>1</v>
      </c>
      <c r="L49" s="2">
        <v>0</v>
      </c>
    </row>
    <row r="50" spans="1:12" x14ac:dyDescent="0.3">
      <c r="A50" s="1" t="s">
        <v>103</v>
      </c>
      <c r="B50" s="1">
        <f t="shared" si="0"/>
        <v>49</v>
      </c>
      <c r="C50" s="2">
        <v>450</v>
      </c>
      <c r="D50" s="2">
        <v>255</v>
      </c>
      <c r="E50" s="2">
        <v>72</v>
      </c>
      <c r="F50" s="2">
        <v>69</v>
      </c>
      <c r="G50" s="2" t="s">
        <v>102</v>
      </c>
      <c r="H50" s="2" t="s">
        <v>103</v>
      </c>
      <c r="I50" s="2"/>
      <c r="J50" s="2"/>
      <c r="K50" s="2">
        <v>1</v>
      </c>
      <c r="L50" s="2">
        <v>0</v>
      </c>
    </row>
    <row r="51" spans="1:12" x14ac:dyDescent="0.3">
      <c r="A51" s="1" t="s">
        <v>105</v>
      </c>
      <c r="B51" s="1">
        <f t="shared" si="0"/>
        <v>50</v>
      </c>
      <c r="C51" s="2">
        <v>522</v>
      </c>
      <c r="D51" s="2">
        <v>255</v>
      </c>
      <c r="E51" s="2">
        <v>72</v>
      </c>
      <c r="F51" s="2">
        <v>69</v>
      </c>
      <c r="G51" s="2" t="s">
        <v>104</v>
      </c>
      <c r="H51" s="2" t="s">
        <v>105</v>
      </c>
      <c r="I51" s="2"/>
      <c r="J51" s="2"/>
      <c r="K51" s="2">
        <v>1</v>
      </c>
      <c r="L51" s="2">
        <v>0</v>
      </c>
    </row>
    <row r="52" spans="1:12" x14ac:dyDescent="0.3">
      <c r="A52" s="1" t="s">
        <v>107</v>
      </c>
      <c r="B52" s="1">
        <f t="shared" si="0"/>
        <v>51</v>
      </c>
      <c r="C52" s="2">
        <v>594</v>
      </c>
      <c r="D52" s="2">
        <v>255</v>
      </c>
      <c r="E52" s="2">
        <v>72</v>
      </c>
      <c r="F52" s="2">
        <v>69</v>
      </c>
      <c r="G52" s="2" t="s">
        <v>106</v>
      </c>
      <c r="H52" s="2" t="s">
        <v>107</v>
      </c>
      <c r="I52" s="2"/>
      <c r="J52" s="2"/>
      <c r="K52" s="2">
        <v>1</v>
      </c>
      <c r="L52" s="2">
        <v>0</v>
      </c>
    </row>
    <row r="53" spans="1:12" x14ac:dyDescent="0.3">
      <c r="A53" s="1" t="s">
        <v>110</v>
      </c>
      <c r="B53" s="1">
        <f t="shared" si="0"/>
        <v>52</v>
      </c>
      <c r="C53" s="2">
        <v>666</v>
      </c>
      <c r="D53" s="2">
        <v>255</v>
      </c>
      <c r="E53" s="2">
        <v>72</v>
      </c>
      <c r="F53" s="2">
        <v>69</v>
      </c>
      <c r="G53" s="2" t="s">
        <v>92</v>
      </c>
      <c r="H53" s="2" t="s">
        <v>110</v>
      </c>
      <c r="I53" s="2"/>
      <c r="J53" s="2"/>
      <c r="K53" s="2">
        <v>0</v>
      </c>
      <c r="L53" s="2">
        <v>0</v>
      </c>
    </row>
    <row r="54" spans="1:12" x14ac:dyDescent="0.3">
      <c r="A54" s="1" t="s">
        <v>112</v>
      </c>
      <c r="B54" s="1">
        <f t="shared" si="0"/>
        <v>53</v>
      </c>
      <c r="C54" s="2">
        <v>738</v>
      </c>
      <c r="D54" s="2">
        <v>255</v>
      </c>
      <c r="E54" s="2">
        <v>72</v>
      </c>
      <c r="F54" s="2">
        <v>69</v>
      </c>
      <c r="G54" s="2" t="s">
        <v>91</v>
      </c>
      <c r="H54" s="2" t="s">
        <v>112</v>
      </c>
      <c r="I54" s="2"/>
      <c r="J54" s="2"/>
      <c r="K54" s="2">
        <v>0</v>
      </c>
      <c r="L54" s="2">
        <v>0</v>
      </c>
    </row>
    <row r="55" spans="1:12" x14ac:dyDescent="0.3">
      <c r="A55" s="1" t="s">
        <v>23</v>
      </c>
      <c r="B55" s="1">
        <f t="shared" si="0"/>
        <v>54</v>
      </c>
      <c r="C55" s="2">
        <v>810</v>
      </c>
      <c r="D55" s="2">
        <v>255</v>
      </c>
      <c r="E55" s="2">
        <v>72</v>
      </c>
      <c r="F55" s="2">
        <v>69</v>
      </c>
      <c r="G55" s="2" t="s">
        <v>31</v>
      </c>
      <c r="H55" s="2" t="s">
        <v>23</v>
      </c>
      <c r="I55" s="2"/>
      <c r="J55" s="2"/>
      <c r="K55" s="2">
        <v>0</v>
      </c>
      <c r="L55" s="2">
        <v>0</v>
      </c>
    </row>
    <row r="56" spans="1:12" x14ac:dyDescent="0.3">
      <c r="A56" s="1" t="s">
        <v>169</v>
      </c>
      <c r="B56" s="1">
        <f t="shared" si="0"/>
        <v>55</v>
      </c>
      <c r="C56" s="2">
        <v>882</v>
      </c>
      <c r="D56" s="2">
        <v>255</v>
      </c>
      <c r="E56" s="2">
        <v>162</v>
      </c>
      <c r="F56" s="2">
        <v>69</v>
      </c>
      <c r="G56" s="2"/>
      <c r="H56" s="2" t="s">
        <v>169</v>
      </c>
      <c r="I56" s="2"/>
      <c r="J56" s="2"/>
      <c r="K56" s="2">
        <v>0</v>
      </c>
      <c r="L56" s="2">
        <v>0</v>
      </c>
    </row>
    <row r="57" spans="1:12" x14ac:dyDescent="0.3">
      <c r="A57" s="1" t="s">
        <v>170</v>
      </c>
      <c r="B57" s="1">
        <f t="shared" si="0"/>
        <v>56</v>
      </c>
      <c r="C57" s="2">
        <v>0</v>
      </c>
      <c r="D57" s="2">
        <v>324</v>
      </c>
      <c r="E57" s="2">
        <v>108</v>
      </c>
      <c r="F57" s="2">
        <v>84</v>
      </c>
      <c r="G57" s="2"/>
      <c r="H57" s="2" t="s">
        <v>170</v>
      </c>
      <c r="I57" s="2"/>
      <c r="J57" s="2"/>
      <c r="K57" s="2">
        <v>0</v>
      </c>
      <c r="L57" s="2">
        <v>0</v>
      </c>
    </row>
    <row r="58" spans="1:12" x14ac:dyDescent="0.3">
      <c r="A58" s="1" t="s">
        <v>216</v>
      </c>
      <c r="B58" s="1">
        <f t="shared" si="0"/>
        <v>57</v>
      </c>
      <c r="C58" s="2">
        <v>108</v>
      </c>
      <c r="D58" s="2">
        <v>324</v>
      </c>
      <c r="E58" s="2">
        <v>90</v>
      </c>
      <c r="F58" s="2">
        <v>84</v>
      </c>
      <c r="G58" s="2"/>
      <c r="H58" s="2" t="s">
        <v>216</v>
      </c>
      <c r="I58" s="2"/>
      <c r="J58" s="2"/>
      <c r="K58" s="2">
        <v>0</v>
      </c>
      <c r="L58" s="2">
        <v>0</v>
      </c>
    </row>
    <row r="59" spans="1:12" x14ac:dyDescent="0.3">
      <c r="A59" s="1" t="s">
        <v>186</v>
      </c>
      <c r="B59" s="1">
        <f t="shared" si="0"/>
        <v>58</v>
      </c>
      <c r="C59" s="2">
        <v>306</v>
      </c>
      <c r="D59" s="2">
        <v>324</v>
      </c>
      <c r="E59" s="2">
        <v>432</v>
      </c>
      <c r="F59" s="2">
        <v>84</v>
      </c>
      <c r="G59" s="2"/>
      <c r="H59" s="2" t="s">
        <v>186</v>
      </c>
      <c r="I59" s="2"/>
      <c r="J59" s="2"/>
      <c r="K59" s="2">
        <v>0</v>
      </c>
      <c r="L59" s="2">
        <v>0</v>
      </c>
    </row>
    <row r="60" spans="1:12" x14ac:dyDescent="0.3">
      <c r="A60" s="1" t="s">
        <v>171</v>
      </c>
      <c r="B60" s="1">
        <f t="shared" si="0"/>
        <v>59</v>
      </c>
      <c r="C60" s="2">
        <v>936</v>
      </c>
      <c r="D60" s="2">
        <v>324</v>
      </c>
      <c r="E60" s="2">
        <v>108</v>
      </c>
      <c r="F60" s="2">
        <v>84</v>
      </c>
      <c r="G60" s="2"/>
      <c r="H60" s="2" t="s">
        <v>171</v>
      </c>
      <c r="I60" s="2"/>
      <c r="J60" s="2"/>
      <c r="K60" s="2">
        <v>0</v>
      </c>
      <c r="L60" s="2">
        <v>0</v>
      </c>
    </row>
    <row r="61" spans="1:12" x14ac:dyDescent="0.3">
      <c r="A61" s="1" t="s">
        <v>217</v>
      </c>
      <c r="B61" s="1">
        <f t="shared" si="0"/>
        <v>60</v>
      </c>
      <c r="C61" s="2">
        <v>846</v>
      </c>
      <c r="D61" s="2">
        <v>324</v>
      </c>
      <c r="E61" s="2">
        <v>90</v>
      </c>
      <c r="F61" s="2">
        <v>84</v>
      </c>
      <c r="G61" s="2"/>
      <c r="H61" s="2" t="s">
        <v>217</v>
      </c>
      <c r="I61" s="2"/>
      <c r="J61" s="2"/>
      <c r="K61" s="2">
        <v>0</v>
      </c>
      <c r="L61" s="2">
        <v>0</v>
      </c>
    </row>
    <row r="62" spans="1:12" x14ac:dyDescent="0.3">
      <c r="A62" s="1" t="s">
        <v>218</v>
      </c>
      <c r="B62" s="1">
        <f t="shared" si="0"/>
        <v>61</v>
      </c>
      <c r="C62" s="2">
        <v>1072</v>
      </c>
      <c r="D62" s="2">
        <v>48</v>
      </c>
      <c r="E62" s="2">
        <v>72</v>
      </c>
      <c r="F62" s="2">
        <v>69</v>
      </c>
      <c r="G62" s="2"/>
      <c r="H62" s="2" t="s">
        <v>218</v>
      </c>
      <c r="I62" s="2"/>
      <c r="J62" s="2"/>
      <c r="K62" s="2">
        <v>0</v>
      </c>
      <c r="L62" s="2">
        <v>0</v>
      </c>
    </row>
    <row r="63" spans="1:12" x14ac:dyDescent="0.3">
      <c r="A63" s="1" t="s">
        <v>219</v>
      </c>
      <c r="B63" s="1">
        <f t="shared" si="0"/>
        <v>62</v>
      </c>
      <c r="C63" s="2">
        <v>1072</v>
      </c>
      <c r="D63" s="2">
        <v>117</v>
      </c>
      <c r="E63" s="2">
        <v>72</v>
      </c>
      <c r="F63" s="2">
        <v>69</v>
      </c>
      <c r="G63" s="2"/>
      <c r="H63" s="2" t="s">
        <v>122</v>
      </c>
      <c r="I63" s="2"/>
      <c r="J63" s="2"/>
      <c r="K63" s="2">
        <v>0</v>
      </c>
      <c r="L63" s="2">
        <v>0</v>
      </c>
    </row>
    <row r="64" spans="1:12" x14ac:dyDescent="0.3">
      <c r="A64" s="1" t="s">
        <v>174</v>
      </c>
      <c r="B64" s="1">
        <f t="shared" si="0"/>
        <v>63</v>
      </c>
      <c r="C64" s="2">
        <v>1072</v>
      </c>
      <c r="D64" s="2">
        <v>339</v>
      </c>
      <c r="E64" s="2">
        <v>72</v>
      </c>
      <c r="F64" s="2">
        <v>69</v>
      </c>
      <c r="G64" s="2"/>
      <c r="H64" s="2" t="s">
        <v>174</v>
      </c>
      <c r="I64" s="2"/>
      <c r="J64" s="2"/>
      <c r="K64" s="2">
        <v>0</v>
      </c>
      <c r="L64" s="2">
        <v>0</v>
      </c>
    </row>
    <row r="65" spans="1:12" x14ac:dyDescent="0.3">
      <c r="A65" s="1" t="s">
        <v>175</v>
      </c>
      <c r="B65" s="1">
        <f t="shared" si="0"/>
        <v>64</v>
      </c>
      <c r="C65" s="2">
        <v>1144</v>
      </c>
      <c r="D65" s="2">
        <v>48</v>
      </c>
      <c r="E65" s="2">
        <v>72</v>
      </c>
      <c r="F65" s="2">
        <v>69</v>
      </c>
      <c r="G65" s="2"/>
      <c r="H65" s="2" t="s">
        <v>175</v>
      </c>
      <c r="I65" s="2"/>
      <c r="J65" s="2"/>
      <c r="K65" s="2">
        <v>0</v>
      </c>
      <c r="L65" s="2">
        <v>0</v>
      </c>
    </row>
    <row r="66" spans="1:12" x14ac:dyDescent="0.3">
      <c r="A66" s="1" t="s">
        <v>181</v>
      </c>
      <c r="B66" s="1">
        <f t="shared" ref="B66:B119" si="1">ROW(B66)-1</f>
        <v>65</v>
      </c>
      <c r="C66" s="2">
        <v>1144</v>
      </c>
      <c r="D66" s="2">
        <v>117</v>
      </c>
      <c r="E66" s="2">
        <v>72</v>
      </c>
      <c r="F66" s="2">
        <v>69</v>
      </c>
      <c r="G66" s="2"/>
      <c r="H66" s="2" t="s">
        <v>181</v>
      </c>
      <c r="I66" s="2"/>
      <c r="J66" s="2"/>
      <c r="K66" s="2">
        <v>0</v>
      </c>
      <c r="L66" s="2">
        <v>0</v>
      </c>
    </row>
    <row r="67" spans="1:12" x14ac:dyDescent="0.3">
      <c r="A67" s="1" t="s">
        <v>176</v>
      </c>
      <c r="B67" s="1">
        <f t="shared" si="1"/>
        <v>66</v>
      </c>
      <c r="C67" s="2">
        <v>1144</v>
      </c>
      <c r="D67" s="2">
        <v>270</v>
      </c>
      <c r="E67" s="2">
        <v>72</v>
      </c>
      <c r="F67" s="2">
        <v>69</v>
      </c>
      <c r="G67" s="2"/>
      <c r="H67" s="2" t="s">
        <v>176</v>
      </c>
      <c r="I67" s="2"/>
      <c r="J67" s="2"/>
      <c r="K67" s="2">
        <v>0</v>
      </c>
      <c r="L67" s="2">
        <v>0</v>
      </c>
    </row>
    <row r="68" spans="1:12" x14ac:dyDescent="0.3">
      <c r="A68" s="1" t="s">
        <v>177</v>
      </c>
      <c r="B68" s="1">
        <f t="shared" si="1"/>
        <v>67</v>
      </c>
      <c r="C68" s="2">
        <v>1144</v>
      </c>
      <c r="D68" s="2">
        <v>339</v>
      </c>
      <c r="E68" s="2">
        <v>72</v>
      </c>
      <c r="F68" s="2">
        <v>69</v>
      </c>
      <c r="G68" s="2"/>
      <c r="H68" s="2" t="s">
        <v>177</v>
      </c>
      <c r="I68" s="2"/>
      <c r="J68" s="2"/>
      <c r="K68" s="2">
        <v>0</v>
      </c>
      <c r="L68" s="2">
        <v>0</v>
      </c>
    </row>
    <row r="69" spans="1:12" x14ac:dyDescent="0.3">
      <c r="A69" s="1" t="s">
        <v>178</v>
      </c>
      <c r="B69" s="1">
        <f t="shared" si="1"/>
        <v>68</v>
      </c>
      <c r="C69" s="2">
        <v>1216</v>
      </c>
      <c r="D69" s="2">
        <v>48</v>
      </c>
      <c r="E69" s="2">
        <v>72</v>
      </c>
      <c r="F69" s="2">
        <v>69</v>
      </c>
      <c r="G69" s="2"/>
      <c r="H69" s="2" t="s">
        <v>178</v>
      </c>
      <c r="I69" s="2"/>
      <c r="J69" s="2"/>
      <c r="K69" s="2">
        <v>0</v>
      </c>
      <c r="L69" s="2">
        <v>0</v>
      </c>
    </row>
    <row r="70" spans="1:12" x14ac:dyDescent="0.3">
      <c r="A70" s="1" t="s">
        <v>182</v>
      </c>
      <c r="B70" s="1">
        <f t="shared" si="1"/>
        <v>69</v>
      </c>
      <c r="C70" s="2">
        <v>1216</v>
      </c>
      <c r="D70" s="2">
        <v>117</v>
      </c>
      <c r="E70" s="2">
        <v>72</v>
      </c>
      <c r="F70" s="2">
        <v>69</v>
      </c>
      <c r="G70" s="2"/>
      <c r="H70" s="2" t="s">
        <v>182</v>
      </c>
      <c r="I70" s="2"/>
      <c r="J70" s="2"/>
      <c r="K70" s="2">
        <v>0</v>
      </c>
      <c r="L70" s="2">
        <v>0</v>
      </c>
    </row>
    <row r="71" spans="1:12" x14ac:dyDescent="0.3">
      <c r="A71" s="1" t="s">
        <v>179</v>
      </c>
      <c r="B71" s="1">
        <f t="shared" si="1"/>
        <v>70</v>
      </c>
      <c r="C71" s="2">
        <v>1216</v>
      </c>
      <c r="D71" s="2">
        <v>339</v>
      </c>
      <c r="E71" s="2">
        <v>72</v>
      </c>
      <c r="F71" s="2">
        <v>69</v>
      </c>
      <c r="G71" s="2"/>
      <c r="H71" s="2" t="s">
        <v>179</v>
      </c>
      <c r="I71" s="2"/>
      <c r="J71" s="2"/>
      <c r="K71" s="2">
        <v>0</v>
      </c>
      <c r="L71" s="2">
        <v>0</v>
      </c>
    </row>
    <row r="72" spans="1:12" x14ac:dyDescent="0.3">
      <c r="A72" s="1" t="s">
        <v>245</v>
      </c>
      <c r="B72" s="1">
        <f t="shared" si="1"/>
        <v>71</v>
      </c>
      <c r="C72" s="2">
        <v>1316</v>
      </c>
      <c r="D72" s="2">
        <v>48</v>
      </c>
      <c r="E72" s="2">
        <v>72</v>
      </c>
      <c r="F72" s="2">
        <v>69</v>
      </c>
      <c r="G72" s="2"/>
      <c r="H72" s="2" t="s">
        <v>245</v>
      </c>
      <c r="I72" s="2"/>
      <c r="J72" s="2"/>
      <c r="K72" s="2">
        <v>0</v>
      </c>
      <c r="L72" s="2">
        <v>1</v>
      </c>
    </row>
    <row r="73" spans="1:12" x14ac:dyDescent="0.3">
      <c r="A73" s="1" t="s">
        <v>175</v>
      </c>
      <c r="B73" s="1">
        <f t="shared" si="1"/>
        <v>72</v>
      </c>
      <c r="C73" s="2">
        <v>1316</v>
      </c>
      <c r="D73" s="2">
        <v>117</v>
      </c>
      <c r="E73" s="2">
        <v>72</v>
      </c>
      <c r="F73" s="2">
        <v>69</v>
      </c>
      <c r="G73" s="2">
        <v>7</v>
      </c>
      <c r="H73" s="2" t="s">
        <v>175</v>
      </c>
      <c r="I73" s="2"/>
      <c r="J73" s="2"/>
      <c r="K73" s="2">
        <v>0</v>
      </c>
      <c r="L73" s="2">
        <v>1</v>
      </c>
    </row>
    <row r="74" spans="1:12" x14ac:dyDescent="0.3">
      <c r="A74" s="1" t="s">
        <v>174</v>
      </c>
      <c r="B74" s="1">
        <f t="shared" si="1"/>
        <v>73</v>
      </c>
      <c r="C74" s="2">
        <v>1316</v>
      </c>
      <c r="D74" s="2">
        <v>186</v>
      </c>
      <c r="E74" s="2">
        <v>72</v>
      </c>
      <c r="F74" s="2">
        <v>69</v>
      </c>
      <c r="G74" s="2">
        <v>4</v>
      </c>
      <c r="H74" s="2" t="s">
        <v>174</v>
      </c>
      <c r="I74" s="2"/>
      <c r="J74" s="2"/>
      <c r="K74" s="2">
        <v>0</v>
      </c>
      <c r="L74" s="2">
        <v>1</v>
      </c>
    </row>
    <row r="75" spans="1:12" x14ac:dyDescent="0.3">
      <c r="A75" s="1" t="s">
        <v>181</v>
      </c>
      <c r="B75" s="1">
        <f t="shared" si="1"/>
        <v>74</v>
      </c>
      <c r="C75" s="2">
        <v>1316</v>
      </c>
      <c r="D75" s="2">
        <v>255</v>
      </c>
      <c r="E75" s="2">
        <v>72</v>
      </c>
      <c r="F75" s="2">
        <v>69</v>
      </c>
      <c r="G75" s="2">
        <v>1</v>
      </c>
      <c r="H75" s="2" t="s">
        <v>181</v>
      </c>
      <c r="I75" s="2"/>
      <c r="J75" s="2"/>
      <c r="K75" s="2">
        <v>0</v>
      </c>
      <c r="L75" s="2">
        <v>1</v>
      </c>
    </row>
    <row r="76" spans="1:12" x14ac:dyDescent="0.3">
      <c r="A76" s="1" t="s">
        <v>23</v>
      </c>
      <c r="B76" s="1">
        <f t="shared" si="1"/>
        <v>75</v>
      </c>
      <c r="C76" s="2">
        <v>1460</v>
      </c>
      <c r="D76" s="2">
        <v>48</v>
      </c>
      <c r="E76" s="2">
        <v>72</v>
      </c>
      <c r="F76" s="2">
        <v>69</v>
      </c>
      <c r="G76" s="2"/>
      <c r="H76" s="2" t="s">
        <v>23</v>
      </c>
      <c r="I76" s="2"/>
      <c r="J76" s="2"/>
      <c r="K76" s="2">
        <v>0</v>
      </c>
      <c r="L76" s="2">
        <v>1</v>
      </c>
    </row>
    <row r="77" spans="1:12" x14ac:dyDescent="0.3">
      <c r="A77" s="1" t="s">
        <v>176</v>
      </c>
      <c r="B77" s="1">
        <f t="shared" si="1"/>
        <v>76</v>
      </c>
      <c r="C77" s="2">
        <v>1388</v>
      </c>
      <c r="D77" s="2">
        <v>117</v>
      </c>
      <c r="E77" s="2">
        <v>72</v>
      </c>
      <c r="F77" s="2">
        <v>69</v>
      </c>
      <c r="G77" s="2">
        <v>8</v>
      </c>
      <c r="H77" s="2" t="s">
        <v>176</v>
      </c>
      <c r="I77" s="2"/>
      <c r="J77" s="2"/>
      <c r="K77" s="2">
        <v>0</v>
      </c>
      <c r="L77" s="2">
        <v>1</v>
      </c>
    </row>
    <row r="78" spans="1:12" x14ac:dyDescent="0.3">
      <c r="A78" s="1"/>
      <c r="B78" s="1">
        <f t="shared" si="1"/>
        <v>77</v>
      </c>
      <c r="C78" s="2">
        <v>1388</v>
      </c>
      <c r="D78" s="2">
        <v>186</v>
      </c>
      <c r="E78" s="2">
        <v>72</v>
      </c>
      <c r="F78" s="2">
        <v>69</v>
      </c>
      <c r="G78" s="2">
        <v>5</v>
      </c>
      <c r="H78" s="2"/>
      <c r="I78" s="2"/>
      <c r="J78" s="2"/>
      <c r="K78" s="2">
        <v>0</v>
      </c>
      <c r="L78" s="2">
        <v>1</v>
      </c>
    </row>
    <row r="79" spans="1:12" x14ac:dyDescent="0.3">
      <c r="A79" s="1" t="s">
        <v>177</v>
      </c>
      <c r="B79" s="1">
        <f t="shared" si="1"/>
        <v>78</v>
      </c>
      <c r="C79" s="2">
        <v>1388</v>
      </c>
      <c r="D79" s="2">
        <v>255</v>
      </c>
      <c r="E79" s="2">
        <v>72</v>
      </c>
      <c r="F79" s="2">
        <v>69</v>
      </c>
      <c r="G79" s="2">
        <v>2</v>
      </c>
      <c r="H79" s="2" t="s">
        <v>177</v>
      </c>
      <c r="I79" s="2"/>
      <c r="J79" s="2"/>
      <c r="K79" s="2">
        <v>0</v>
      </c>
      <c r="L79" s="2">
        <v>1</v>
      </c>
    </row>
    <row r="80" spans="1:12" x14ac:dyDescent="0.3">
      <c r="A80" s="1" t="s">
        <v>220</v>
      </c>
      <c r="B80" s="1">
        <f t="shared" si="1"/>
        <v>79</v>
      </c>
      <c r="C80" s="2">
        <v>1316</v>
      </c>
      <c r="D80" s="2">
        <v>324</v>
      </c>
      <c r="E80" s="2">
        <v>144</v>
      </c>
      <c r="F80" s="2">
        <v>84</v>
      </c>
      <c r="G80" s="2">
        <v>0</v>
      </c>
      <c r="H80" s="2" t="s">
        <v>220</v>
      </c>
      <c r="I80" s="2"/>
      <c r="J80" s="2"/>
      <c r="K80" s="2">
        <v>0</v>
      </c>
      <c r="L80" s="2">
        <v>1</v>
      </c>
    </row>
    <row r="81" spans="1:12" x14ac:dyDescent="0.3">
      <c r="A81" s="1" t="s">
        <v>62</v>
      </c>
      <c r="B81" s="1">
        <f t="shared" si="1"/>
        <v>80</v>
      </c>
      <c r="C81" s="2">
        <v>1532</v>
      </c>
      <c r="D81" s="2">
        <v>48</v>
      </c>
      <c r="E81" s="2">
        <v>72</v>
      </c>
      <c r="F81" s="2">
        <v>69</v>
      </c>
      <c r="G81" s="2"/>
      <c r="H81" s="2" t="s">
        <v>62</v>
      </c>
      <c r="I81" s="2"/>
      <c r="J81" s="2"/>
      <c r="K81" s="2">
        <v>0</v>
      </c>
      <c r="L81" s="2">
        <v>1</v>
      </c>
    </row>
    <row r="82" spans="1:12" x14ac:dyDescent="0.3">
      <c r="A82" s="1" t="s">
        <v>221</v>
      </c>
      <c r="B82" s="1">
        <f t="shared" si="1"/>
        <v>81</v>
      </c>
      <c r="C82" s="2">
        <v>1460</v>
      </c>
      <c r="D82" s="2">
        <v>117</v>
      </c>
      <c r="E82" s="2">
        <v>72</v>
      </c>
      <c r="F82" s="2">
        <v>69</v>
      </c>
      <c r="G82" s="2">
        <v>9</v>
      </c>
      <c r="H82" s="2" t="s">
        <v>221</v>
      </c>
      <c r="I82" s="2"/>
      <c r="J82" s="2"/>
      <c r="K82" s="2">
        <v>0</v>
      </c>
      <c r="L82" s="2">
        <v>1</v>
      </c>
    </row>
    <row r="83" spans="1:12" x14ac:dyDescent="0.3">
      <c r="A83" s="1" t="s">
        <v>179</v>
      </c>
      <c r="B83" s="1">
        <f t="shared" si="1"/>
        <v>82</v>
      </c>
      <c r="C83" s="2">
        <v>1460</v>
      </c>
      <c r="D83" s="2">
        <v>186</v>
      </c>
      <c r="E83" s="2">
        <v>72</v>
      </c>
      <c r="F83" s="2">
        <v>69</v>
      </c>
      <c r="G83" s="2">
        <v>6</v>
      </c>
      <c r="H83" s="2" t="s">
        <v>179</v>
      </c>
      <c r="I83" s="2"/>
      <c r="J83" s="2"/>
      <c r="K83" s="2">
        <v>0</v>
      </c>
      <c r="L83" s="2">
        <v>1</v>
      </c>
    </row>
    <row r="84" spans="1:12" x14ac:dyDescent="0.3">
      <c r="A84" s="1" t="s">
        <v>222</v>
      </c>
      <c r="B84" s="1">
        <f t="shared" si="1"/>
        <v>83</v>
      </c>
      <c r="C84" s="2">
        <v>1460</v>
      </c>
      <c r="D84" s="2">
        <v>255</v>
      </c>
      <c r="E84" s="2">
        <v>72</v>
      </c>
      <c r="F84" s="2">
        <v>69</v>
      </c>
      <c r="G84" s="2">
        <v>3</v>
      </c>
      <c r="H84" s="2" t="s">
        <v>222</v>
      </c>
      <c r="I84" s="2"/>
      <c r="J84" s="2"/>
      <c r="K84" s="2">
        <v>0</v>
      </c>
      <c r="L84" s="2">
        <v>1</v>
      </c>
    </row>
    <row r="85" spans="1:12" x14ac:dyDescent="0.3">
      <c r="A85" s="1" t="s">
        <v>223</v>
      </c>
      <c r="B85" s="1">
        <f t="shared" si="1"/>
        <v>84</v>
      </c>
      <c r="C85" s="2">
        <v>1460</v>
      </c>
      <c r="D85" s="2">
        <v>324</v>
      </c>
      <c r="E85" s="2">
        <v>72</v>
      </c>
      <c r="F85" s="2">
        <v>84</v>
      </c>
      <c r="G85" s="2" t="s">
        <v>112</v>
      </c>
      <c r="H85" s="2" t="s">
        <v>223</v>
      </c>
      <c r="I85" s="2"/>
      <c r="J85" s="2"/>
      <c r="K85" s="2">
        <v>0</v>
      </c>
      <c r="L85" s="2">
        <v>1</v>
      </c>
    </row>
    <row r="86" spans="1:12" x14ac:dyDescent="0.3">
      <c r="A86" s="1" t="s">
        <v>114</v>
      </c>
      <c r="B86" s="1">
        <f t="shared" si="1"/>
        <v>85</v>
      </c>
      <c r="C86" s="2">
        <v>1532</v>
      </c>
      <c r="D86" s="2">
        <v>117</v>
      </c>
      <c r="E86" s="2">
        <v>72</v>
      </c>
      <c r="F86" s="2">
        <v>69</v>
      </c>
      <c r="G86" s="2"/>
      <c r="H86" s="2" t="s">
        <v>114</v>
      </c>
      <c r="I86" s="2"/>
      <c r="J86" s="2"/>
      <c r="K86" s="2">
        <v>0</v>
      </c>
      <c r="L86" s="2">
        <v>1</v>
      </c>
    </row>
    <row r="87" spans="1:12" x14ac:dyDescent="0.3">
      <c r="A87" s="1" t="s">
        <v>63</v>
      </c>
      <c r="B87" s="1">
        <f t="shared" si="1"/>
        <v>86</v>
      </c>
      <c r="C87" s="2">
        <v>1532</v>
      </c>
      <c r="D87" s="2">
        <v>186</v>
      </c>
      <c r="E87" s="2">
        <v>72</v>
      </c>
      <c r="F87" s="2">
        <v>69</v>
      </c>
      <c r="G87" s="2"/>
      <c r="H87" s="2" t="s">
        <v>63</v>
      </c>
      <c r="I87" s="2"/>
      <c r="J87" s="2"/>
      <c r="K87" s="2">
        <v>0</v>
      </c>
      <c r="L87" s="2">
        <v>1</v>
      </c>
    </row>
    <row r="88" spans="1:12" x14ac:dyDescent="0.3">
      <c r="A88" s="1" t="s">
        <v>167</v>
      </c>
      <c r="B88" s="1">
        <f t="shared" si="1"/>
        <v>87</v>
      </c>
      <c r="C88" s="2">
        <v>1532</v>
      </c>
      <c r="D88" s="2">
        <v>255</v>
      </c>
      <c r="E88" s="2">
        <v>72</v>
      </c>
      <c r="F88" s="2">
        <v>153</v>
      </c>
      <c r="G88" s="2"/>
      <c r="H88" s="2" t="s">
        <v>167</v>
      </c>
      <c r="I88" s="2"/>
      <c r="J88" s="2"/>
      <c r="K88" s="2">
        <v>0</v>
      </c>
      <c r="L88" s="2">
        <v>1</v>
      </c>
    </row>
    <row r="89" spans="1:12" x14ac:dyDescent="0.3">
      <c r="A89" s="1" t="s">
        <v>134</v>
      </c>
      <c r="B89" s="1">
        <f t="shared" si="1"/>
        <v>88</v>
      </c>
      <c r="C89" s="2">
        <v>0</v>
      </c>
      <c r="D89" s="2">
        <v>0</v>
      </c>
      <c r="E89" s="2">
        <v>75</v>
      </c>
      <c r="F89" s="2">
        <v>48</v>
      </c>
      <c r="G89" s="2"/>
      <c r="H89" s="2" t="s">
        <v>134</v>
      </c>
      <c r="I89" s="2"/>
      <c r="J89" s="2"/>
      <c r="K89" s="2">
        <v>0</v>
      </c>
      <c r="L89" s="2">
        <v>0</v>
      </c>
    </row>
    <row r="90" spans="1:12" x14ac:dyDescent="0.3">
      <c r="A90" s="1" t="s">
        <v>135</v>
      </c>
      <c r="B90" s="1">
        <f t="shared" si="1"/>
        <v>89</v>
      </c>
      <c r="C90" s="2">
        <v>75</v>
      </c>
      <c r="D90" s="2">
        <v>0</v>
      </c>
      <c r="E90" s="2">
        <v>75</v>
      </c>
      <c r="F90" s="2">
        <v>48</v>
      </c>
      <c r="G90" s="2" t="s">
        <v>224</v>
      </c>
      <c r="H90" s="2" t="s">
        <v>135</v>
      </c>
      <c r="I90" s="2"/>
      <c r="J90" s="2"/>
      <c r="K90" s="2">
        <v>0</v>
      </c>
      <c r="L90" s="2">
        <v>0</v>
      </c>
    </row>
    <row r="91" spans="1:12" x14ac:dyDescent="0.3">
      <c r="A91" s="1" t="s">
        <v>136</v>
      </c>
      <c r="B91" s="1">
        <f t="shared" si="1"/>
        <v>90</v>
      </c>
      <c r="C91" s="2">
        <v>149</v>
      </c>
      <c r="D91" s="2">
        <v>0</v>
      </c>
      <c r="E91" s="2">
        <v>75</v>
      </c>
      <c r="F91" s="2">
        <v>48</v>
      </c>
      <c r="G91" s="2" t="s">
        <v>225</v>
      </c>
      <c r="H91" s="2" t="s">
        <v>136</v>
      </c>
      <c r="I91" s="2"/>
      <c r="J91" s="2"/>
      <c r="K91" s="2">
        <v>0</v>
      </c>
      <c r="L91" s="2">
        <v>0</v>
      </c>
    </row>
    <row r="92" spans="1:12" x14ac:dyDescent="0.3">
      <c r="A92" s="1" t="s">
        <v>137</v>
      </c>
      <c r="B92" s="1">
        <f t="shared" si="1"/>
        <v>91</v>
      </c>
      <c r="C92" s="2">
        <v>224</v>
      </c>
      <c r="D92" s="2">
        <v>0</v>
      </c>
      <c r="E92" s="2">
        <v>75</v>
      </c>
      <c r="F92" s="2">
        <v>48</v>
      </c>
      <c r="G92" s="2" t="s">
        <v>226</v>
      </c>
      <c r="H92" s="2" t="s">
        <v>137</v>
      </c>
      <c r="I92" s="2"/>
      <c r="J92" s="2"/>
      <c r="K92" s="2">
        <v>0</v>
      </c>
      <c r="L92" s="2">
        <v>0</v>
      </c>
    </row>
    <row r="93" spans="1:12" x14ac:dyDescent="0.3">
      <c r="A93" s="1" t="s">
        <v>138</v>
      </c>
      <c r="B93" s="1">
        <f t="shared" si="1"/>
        <v>92</v>
      </c>
      <c r="C93" s="2">
        <v>298</v>
      </c>
      <c r="D93" s="2">
        <v>0</v>
      </c>
      <c r="E93" s="2">
        <v>75</v>
      </c>
      <c r="F93" s="2">
        <v>48</v>
      </c>
      <c r="G93" s="2" t="s">
        <v>227</v>
      </c>
      <c r="H93" s="2" t="s">
        <v>138</v>
      </c>
      <c r="I93" s="2"/>
      <c r="J93" s="2"/>
      <c r="K93" s="2">
        <v>0</v>
      </c>
      <c r="L93" s="2">
        <v>0</v>
      </c>
    </row>
    <row r="94" spans="1:12" x14ac:dyDescent="0.3">
      <c r="A94" s="1" t="s">
        <v>139</v>
      </c>
      <c r="B94" s="1">
        <f t="shared" si="1"/>
        <v>93</v>
      </c>
      <c r="C94" s="2">
        <v>373</v>
      </c>
      <c r="D94" s="2">
        <v>0</v>
      </c>
      <c r="E94" s="2">
        <v>75</v>
      </c>
      <c r="F94" s="2">
        <v>48</v>
      </c>
      <c r="G94" s="2"/>
      <c r="H94" s="2" t="s">
        <v>139</v>
      </c>
      <c r="I94" s="2"/>
      <c r="J94" s="2"/>
      <c r="K94" s="2">
        <v>0</v>
      </c>
      <c r="L94" s="2">
        <v>0</v>
      </c>
    </row>
    <row r="95" spans="1:12" x14ac:dyDescent="0.3">
      <c r="A95" s="1" t="s">
        <v>140</v>
      </c>
      <c r="B95" s="1">
        <f t="shared" si="1"/>
        <v>94</v>
      </c>
      <c r="C95" s="2">
        <v>447</v>
      </c>
      <c r="D95" s="2">
        <v>0</v>
      </c>
      <c r="E95" s="2">
        <v>75</v>
      </c>
      <c r="F95" s="2">
        <v>48</v>
      </c>
      <c r="G95" s="2"/>
      <c r="H95" s="2" t="s">
        <v>140</v>
      </c>
      <c r="I95" s="2"/>
      <c r="J95" s="2"/>
      <c r="K95" s="2">
        <v>0</v>
      </c>
      <c r="L95" s="2">
        <v>0</v>
      </c>
    </row>
    <row r="96" spans="1:12" x14ac:dyDescent="0.3">
      <c r="A96" s="1" t="s">
        <v>141</v>
      </c>
      <c r="B96" s="1">
        <f t="shared" si="1"/>
        <v>95</v>
      </c>
      <c r="C96" s="2">
        <v>522</v>
      </c>
      <c r="D96" s="2">
        <v>0</v>
      </c>
      <c r="E96" s="2">
        <v>75</v>
      </c>
      <c r="F96" s="2">
        <v>48</v>
      </c>
      <c r="G96" s="2" t="s">
        <v>228</v>
      </c>
      <c r="H96" s="2" t="s">
        <v>141</v>
      </c>
      <c r="I96" s="2"/>
      <c r="J96" s="2"/>
      <c r="K96" s="2">
        <v>0</v>
      </c>
      <c r="L96" s="2">
        <v>0</v>
      </c>
    </row>
    <row r="97" spans="1:12" x14ac:dyDescent="0.3">
      <c r="A97" s="1" t="s">
        <v>142</v>
      </c>
      <c r="B97" s="1">
        <f t="shared" si="1"/>
        <v>96</v>
      </c>
      <c r="C97" s="2">
        <v>597</v>
      </c>
      <c r="D97" s="2">
        <v>0</v>
      </c>
      <c r="E97" s="2">
        <v>75</v>
      </c>
      <c r="F97" s="2">
        <v>48</v>
      </c>
      <c r="G97" s="2" t="s">
        <v>229</v>
      </c>
      <c r="H97" s="2" t="s">
        <v>142</v>
      </c>
      <c r="I97" s="2"/>
      <c r="J97" s="2"/>
      <c r="K97" s="2">
        <v>0</v>
      </c>
      <c r="L97" s="2">
        <v>0</v>
      </c>
    </row>
    <row r="98" spans="1:12" x14ac:dyDescent="0.3">
      <c r="A98" s="1" t="s">
        <v>143</v>
      </c>
      <c r="B98" s="1">
        <f t="shared" si="1"/>
        <v>97</v>
      </c>
      <c r="C98" s="2">
        <v>671</v>
      </c>
      <c r="D98" s="2">
        <v>0</v>
      </c>
      <c r="E98" s="2">
        <v>75</v>
      </c>
      <c r="F98" s="2">
        <v>48</v>
      </c>
      <c r="G98" s="2" t="s">
        <v>230</v>
      </c>
      <c r="H98" s="2" t="s">
        <v>143</v>
      </c>
      <c r="I98" s="2"/>
      <c r="J98" s="2"/>
      <c r="K98" s="2">
        <v>0</v>
      </c>
      <c r="L98" s="2">
        <v>0</v>
      </c>
    </row>
    <row r="99" spans="1:12" x14ac:dyDescent="0.3">
      <c r="A99" s="1" t="s">
        <v>144</v>
      </c>
      <c r="B99" s="1">
        <f t="shared" si="1"/>
        <v>98</v>
      </c>
      <c r="C99" s="2">
        <v>746</v>
      </c>
      <c r="D99" s="2">
        <v>0</v>
      </c>
      <c r="E99" s="2">
        <v>75</v>
      </c>
      <c r="F99" s="2">
        <v>48</v>
      </c>
      <c r="G99" s="2" t="s">
        <v>231</v>
      </c>
      <c r="H99" s="2" t="s">
        <v>144</v>
      </c>
      <c r="I99" s="2"/>
      <c r="J99" s="2"/>
      <c r="K99" s="2">
        <v>0</v>
      </c>
      <c r="L99" s="2">
        <v>0</v>
      </c>
    </row>
    <row r="100" spans="1:12" x14ac:dyDescent="0.3">
      <c r="A100" s="1" t="s">
        <v>145</v>
      </c>
      <c r="B100" s="1">
        <f t="shared" si="1"/>
        <v>99</v>
      </c>
      <c r="C100" s="2">
        <v>820</v>
      </c>
      <c r="D100" s="2">
        <v>0</v>
      </c>
      <c r="E100" s="2">
        <v>75</v>
      </c>
      <c r="F100" s="2">
        <v>48</v>
      </c>
      <c r="G100" s="2" t="s">
        <v>232</v>
      </c>
      <c r="H100" s="2" t="s">
        <v>145</v>
      </c>
      <c r="I100" s="2"/>
      <c r="J100" s="2"/>
      <c r="K100" s="2">
        <v>0</v>
      </c>
      <c r="L100" s="2">
        <v>0</v>
      </c>
    </row>
    <row r="101" spans="1:12" x14ac:dyDescent="0.3">
      <c r="A101" s="1" t="s">
        <v>146</v>
      </c>
      <c r="B101" s="1">
        <f t="shared" si="1"/>
        <v>100</v>
      </c>
      <c r="C101" s="2">
        <v>895</v>
      </c>
      <c r="D101" s="2">
        <v>0</v>
      </c>
      <c r="E101" s="2">
        <v>75</v>
      </c>
      <c r="F101" s="2">
        <v>48</v>
      </c>
      <c r="G101" s="2" t="s">
        <v>233</v>
      </c>
      <c r="H101" s="2" t="s">
        <v>146</v>
      </c>
      <c r="I101" s="2"/>
      <c r="J101" s="2"/>
      <c r="K101" s="2">
        <v>0</v>
      </c>
      <c r="L101" s="2">
        <v>0</v>
      </c>
    </row>
    <row r="102" spans="1:12" x14ac:dyDescent="0.3">
      <c r="A102" s="1" t="s">
        <v>246</v>
      </c>
      <c r="B102" s="1">
        <f t="shared" si="1"/>
        <v>101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3">
      <c r="A103" s="1" t="s">
        <v>246</v>
      </c>
      <c r="B103" s="1">
        <f t="shared" si="1"/>
        <v>102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x14ac:dyDescent="0.3">
      <c r="A104" s="1" t="s">
        <v>246</v>
      </c>
      <c r="B104" s="1">
        <f t="shared" si="1"/>
        <v>103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x14ac:dyDescent="0.3">
      <c r="A105" s="1" t="s">
        <v>234</v>
      </c>
      <c r="B105" s="1">
        <f t="shared" si="1"/>
        <v>104</v>
      </c>
      <c r="C105" s="2">
        <v>198</v>
      </c>
      <c r="D105" s="2">
        <v>324</v>
      </c>
      <c r="E105" s="2">
        <v>108</v>
      </c>
      <c r="F105" s="2">
        <v>84</v>
      </c>
      <c r="G105" s="2"/>
      <c r="H105" s="2" t="s">
        <v>234</v>
      </c>
      <c r="I105" s="2"/>
      <c r="J105" s="2"/>
      <c r="K105" s="2">
        <v>0</v>
      </c>
      <c r="L105" s="2">
        <v>0</v>
      </c>
    </row>
    <row r="106" spans="1:12" x14ac:dyDescent="0.3">
      <c r="A106" s="1" t="s">
        <v>235</v>
      </c>
      <c r="B106" s="1">
        <f t="shared" si="1"/>
        <v>105</v>
      </c>
      <c r="C106" s="2">
        <v>738</v>
      </c>
      <c r="D106" s="2">
        <v>324</v>
      </c>
      <c r="E106" s="2">
        <v>108</v>
      </c>
      <c r="F106" s="2">
        <v>84</v>
      </c>
      <c r="G106" s="2"/>
      <c r="H106" s="2" t="s">
        <v>235</v>
      </c>
      <c r="I106" s="2"/>
      <c r="J106" s="2"/>
      <c r="K106" s="2">
        <v>0</v>
      </c>
      <c r="L106" s="2">
        <v>0</v>
      </c>
    </row>
    <row r="107" spans="1:12" x14ac:dyDescent="0.3">
      <c r="A107" s="1" t="s">
        <v>246</v>
      </c>
      <c r="B107" s="1">
        <f t="shared" si="1"/>
        <v>106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x14ac:dyDescent="0.3">
      <c r="A108" s="1" t="s">
        <v>236</v>
      </c>
      <c r="B108" s="1">
        <f t="shared" si="1"/>
        <v>107</v>
      </c>
      <c r="C108" s="2">
        <v>1072</v>
      </c>
      <c r="D108" s="2">
        <v>0</v>
      </c>
      <c r="E108" s="2">
        <v>72</v>
      </c>
      <c r="F108" s="2">
        <v>48</v>
      </c>
      <c r="G108" s="2"/>
      <c r="H108" s="2" t="s">
        <v>236</v>
      </c>
      <c r="I108" s="2"/>
      <c r="J108" s="2"/>
      <c r="K108" s="2">
        <v>0</v>
      </c>
      <c r="L108" s="2">
        <v>0</v>
      </c>
    </row>
    <row r="109" spans="1:12" x14ac:dyDescent="0.3">
      <c r="A109" s="1" t="s">
        <v>237</v>
      </c>
      <c r="B109" s="1">
        <f t="shared" si="1"/>
        <v>108</v>
      </c>
      <c r="C109" s="2">
        <v>1144</v>
      </c>
      <c r="D109" s="2">
        <v>0</v>
      </c>
      <c r="E109" s="2">
        <v>72</v>
      </c>
      <c r="F109" s="2">
        <v>48</v>
      </c>
      <c r="G109" s="2"/>
      <c r="H109" s="2" t="s">
        <v>237</v>
      </c>
      <c r="I109" s="2"/>
      <c r="J109" s="2"/>
      <c r="K109" s="2">
        <v>0</v>
      </c>
      <c r="L109" s="2">
        <v>0</v>
      </c>
    </row>
    <row r="110" spans="1:12" x14ac:dyDescent="0.3">
      <c r="A110" s="1" t="s">
        <v>238</v>
      </c>
      <c r="B110" s="1">
        <f t="shared" si="1"/>
        <v>109</v>
      </c>
      <c r="C110" s="2">
        <v>1216</v>
      </c>
      <c r="D110" s="2">
        <v>0</v>
      </c>
      <c r="E110" s="2">
        <v>72</v>
      </c>
      <c r="F110" s="2">
        <v>48</v>
      </c>
      <c r="G110" s="2"/>
      <c r="H110" s="2" t="s">
        <v>238</v>
      </c>
      <c r="I110" s="2"/>
      <c r="J110" s="2"/>
      <c r="K110" s="2">
        <v>0</v>
      </c>
      <c r="L110" s="2">
        <v>0</v>
      </c>
    </row>
    <row r="111" spans="1:12" x14ac:dyDescent="0.3">
      <c r="A111" s="1" t="s">
        <v>239</v>
      </c>
      <c r="B111" s="1">
        <f t="shared" si="1"/>
        <v>110</v>
      </c>
      <c r="C111" s="2">
        <v>1316</v>
      </c>
      <c r="D111" s="2">
        <v>0</v>
      </c>
      <c r="E111" s="2">
        <v>72</v>
      </c>
      <c r="F111" s="2">
        <v>48</v>
      </c>
      <c r="G111" s="2"/>
      <c r="H111" s="2" t="s">
        <v>239</v>
      </c>
      <c r="I111" s="2"/>
      <c r="J111" s="2"/>
      <c r="K111" s="2">
        <v>0</v>
      </c>
      <c r="L111" s="2">
        <v>1</v>
      </c>
    </row>
    <row r="112" spans="1:12" x14ac:dyDescent="0.3">
      <c r="A112" s="1" t="s">
        <v>240</v>
      </c>
      <c r="B112" s="1">
        <f t="shared" si="1"/>
        <v>111</v>
      </c>
      <c r="C112" s="2">
        <v>1388</v>
      </c>
      <c r="D112" s="2">
        <v>0</v>
      </c>
      <c r="E112" s="2">
        <v>72</v>
      </c>
      <c r="F112" s="2">
        <v>48</v>
      </c>
      <c r="G112" s="2"/>
      <c r="H112" s="2" t="s">
        <v>240</v>
      </c>
      <c r="I112" s="2"/>
      <c r="J112" s="2"/>
      <c r="K112" s="2">
        <v>0</v>
      </c>
      <c r="L112" s="2">
        <v>1</v>
      </c>
    </row>
    <row r="113" spans="1:12" x14ac:dyDescent="0.3">
      <c r="A113" s="1" t="s">
        <v>241</v>
      </c>
      <c r="B113" s="1">
        <f t="shared" si="1"/>
        <v>112</v>
      </c>
      <c r="C113" s="2">
        <v>1460</v>
      </c>
      <c r="D113" s="2">
        <v>0</v>
      </c>
      <c r="E113" s="2">
        <v>72</v>
      </c>
      <c r="F113" s="2">
        <v>48</v>
      </c>
      <c r="G113" s="2"/>
      <c r="H113" s="2" t="s">
        <v>241</v>
      </c>
      <c r="I113" s="2"/>
      <c r="J113" s="2"/>
      <c r="K113" s="2">
        <v>0</v>
      </c>
      <c r="L113" s="2">
        <v>1</v>
      </c>
    </row>
    <row r="114" spans="1:12" x14ac:dyDescent="0.3">
      <c r="A114" s="1" t="s">
        <v>242</v>
      </c>
      <c r="B114" s="1">
        <f t="shared" si="1"/>
        <v>113</v>
      </c>
      <c r="C114" s="2">
        <v>1532</v>
      </c>
      <c r="D114" s="2">
        <v>0</v>
      </c>
      <c r="E114" s="2">
        <v>72</v>
      </c>
      <c r="F114" s="2">
        <v>48</v>
      </c>
      <c r="G114" s="2"/>
      <c r="H114" s="2" t="s">
        <v>242</v>
      </c>
      <c r="I114" s="2"/>
      <c r="J114" s="2"/>
      <c r="K114" s="2">
        <v>0</v>
      </c>
      <c r="L114" s="2">
        <v>1</v>
      </c>
    </row>
    <row r="115" spans="1:12" x14ac:dyDescent="0.3">
      <c r="A115" s="1" t="s">
        <v>29</v>
      </c>
      <c r="B115" s="1">
        <f t="shared" si="1"/>
        <v>114</v>
      </c>
      <c r="C115" s="2">
        <v>1388</v>
      </c>
      <c r="D115" s="2">
        <v>48</v>
      </c>
      <c r="E115" s="2">
        <v>72</v>
      </c>
      <c r="F115" s="2">
        <v>69</v>
      </c>
      <c r="G115" s="2"/>
      <c r="H115" s="2" t="s">
        <v>29</v>
      </c>
      <c r="I115" s="2"/>
      <c r="J115" s="2"/>
      <c r="K115" s="2">
        <v>0</v>
      </c>
      <c r="L115" s="2">
        <v>0</v>
      </c>
    </row>
    <row r="116" spans="1:12" x14ac:dyDescent="0.3">
      <c r="A116" s="1" t="s">
        <v>246</v>
      </c>
      <c r="B116" s="1">
        <f t="shared" si="1"/>
        <v>115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x14ac:dyDescent="0.3">
      <c r="A117" s="1" t="s">
        <v>246</v>
      </c>
      <c r="B117" s="1">
        <f t="shared" si="1"/>
        <v>116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x14ac:dyDescent="0.3">
      <c r="A118" s="1" t="s">
        <v>246</v>
      </c>
      <c r="B118" s="1">
        <f t="shared" si="1"/>
        <v>117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x14ac:dyDescent="0.3">
      <c r="A119" s="1" t="s">
        <v>243</v>
      </c>
      <c r="B119" s="1">
        <f t="shared" si="1"/>
        <v>118</v>
      </c>
      <c r="C119" s="2">
        <v>969</v>
      </c>
      <c r="D119" s="2">
        <v>0</v>
      </c>
      <c r="E119" s="2">
        <v>75</v>
      </c>
      <c r="F119" s="2">
        <v>48</v>
      </c>
      <c r="G119" s="2"/>
      <c r="H119" s="2" t="s">
        <v>243</v>
      </c>
      <c r="I119" s="2"/>
      <c r="J119" s="2"/>
      <c r="K119" s="2">
        <v>0</v>
      </c>
      <c r="L119" s="2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2EDC3-634E-4427-91D8-5E79808DC824}">
  <sheetPr codeName="Sheet8"/>
  <dimension ref="A1:L119"/>
  <sheetViews>
    <sheetView topLeftCell="A34" workbookViewId="0">
      <selection sqref="A1:B1048576"/>
    </sheetView>
  </sheetViews>
  <sheetFormatPr defaultRowHeight="14.4" x14ac:dyDescent="0.3"/>
  <sheetData>
    <row r="1" spans="1:12" x14ac:dyDescent="0.3">
      <c r="A1" s="1" t="s">
        <v>153</v>
      </c>
      <c r="B1" s="1" t="s">
        <v>154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12</v>
      </c>
    </row>
    <row r="2" spans="1:12" x14ac:dyDescent="0.3">
      <c r="A2" s="1" t="s">
        <v>14</v>
      </c>
      <c r="B2" s="1">
        <f t="shared" ref="B2:B65" si="0">ROW(B2)-1</f>
        <v>1</v>
      </c>
      <c r="C2" s="2">
        <v>0</v>
      </c>
      <c r="D2" s="2">
        <v>48</v>
      </c>
      <c r="E2" s="2">
        <v>72</v>
      </c>
      <c r="F2" s="2">
        <v>69</v>
      </c>
      <c r="G2" s="2" t="s">
        <v>13</v>
      </c>
      <c r="H2" s="2" t="s">
        <v>14</v>
      </c>
      <c r="I2" s="2"/>
      <c r="J2" s="2"/>
      <c r="K2" s="2">
        <v>0</v>
      </c>
      <c r="L2" s="2">
        <v>0</v>
      </c>
    </row>
    <row r="3" spans="1:12" x14ac:dyDescent="0.3">
      <c r="A3" s="1">
        <v>1</v>
      </c>
      <c r="B3" s="1">
        <f t="shared" si="0"/>
        <v>2</v>
      </c>
      <c r="C3" s="2">
        <v>72</v>
      </c>
      <c r="D3" s="2">
        <v>48</v>
      </c>
      <c r="E3" s="2">
        <v>72</v>
      </c>
      <c r="F3" s="2">
        <v>69</v>
      </c>
      <c r="G3" s="2" t="s">
        <v>15</v>
      </c>
      <c r="H3" s="2">
        <v>1</v>
      </c>
      <c r="I3" s="2"/>
      <c r="J3" s="2"/>
      <c r="K3" s="2">
        <v>0</v>
      </c>
      <c r="L3" s="2">
        <v>0</v>
      </c>
    </row>
    <row r="4" spans="1:12" x14ac:dyDescent="0.3">
      <c r="A4" s="1">
        <v>2</v>
      </c>
      <c r="B4" s="1">
        <f t="shared" si="0"/>
        <v>3</v>
      </c>
      <c r="C4" s="2">
        <v>144</v>
      </c>
      <c r="D4" s="2">
        <v>48</v>
      </c>
      <c r="E4" s="2">
        <v>72</v>
      </c>
      <c r="F4" s="2">
        <v>69</v>
      </c>
      <c r="G4" s="9" t="s">
        <v>199</v>
      </c>
      <c r="H4" s="2">
        <v>2</v>
      </c>
      <c r="I4" s="2"/>
      <c r="J4" s="2"/>
      <c r="K4" s="2">
        <v>0</v>
      </c>
      <c r="L4" s="2">
        <v>0</v>
      </c>
    </row>
    <row r="5" spans="1:12" x14ac:dyDescent="0.3">
      <c r="A5" s="1">
        <v>3</v>
      </c>
      <c r="B5" s="1">
        <f t="shared" si="0"/>
        <v>4</v>
      </c>
      <c r="C5" s="2">
        <v>216</v>
      </c>
      <c r="D5" s="2">
        <v>48</v>
      </c>
      <c r="E5" s="2">
        <v>72</v>
      </c>
      <c r="F5" s="2">
        <v>69</v>
      </c>
      <c r="G5" s="2" t="s">
        <v>18</v>
      </c>
      <c r="H5" s="2">
        <v>3</v>
      </c>
      <c r="I5" s="2"/>
      <c r="J5" s="2"/>
      <c r="K5" s="2">
        <v>0</v>
      </c>
      <c r="L5" s="2">
        <v>0</v>
      </c>
    </row>
    <row r="6" spans="1:12" x14ac:dyDescent="0.3">
      <c r="A6" s="1">
        <v>4</v>
      </c>
      <c r="B6" s="1">
        <f t="shared" si="0"/>
        <v>5</v>
      </c>
      <c r="C6" s="2">
        <v>288</v>
      </c>
      <c r="D6" s="2">
        <v>48</v>
      </c>
      <c r="E6" s="2">
        <v>72</v>
      </c>
      <c r="F6" s="2">
        <v>69</v>
      </c>
      <c r="G6" s="2" t="s">
        <v>20</v>
      </c>
      <c r="H6" s="2">
        <v>4</v>
      </c>
      <c r="I6" s="2"/>
      <c r="J6" s="2"/>
      <c r="K6" s="2">
        <v>0</v>
      </c>
      <c r="L6" s="2">
        <v>0</v>
      </c>
    </row>
    <row r="7" spans="1:12" x14ac:dyDescent="0.3">
      <c r="A7" s="1">
        <v>5</v>
      </c>
      <c r="B7" s="1">
        <f t="shared" si="0"/>
        <v>6</v>
      </c>
      <c r="C7" s="2">
        <v>360</v>
      </c>
      <c r="D7" s="2">
        <v>48</v>
      </c>
      <c r="E7" s="2">
        <v>72</v>
      </c>
      <c r="F7" s="2">
        <v>69</v>
      </c>
      <c r="G7" s="2" t="s">
        <v>21</v>
      </c>
      <c r="H7" s="2">
        <v>5</v>
      </c>
      <c r="I7" s="2"/>
      <c r="J7" s="2"/>
      <c r="K7" s="2">
        <v>0</v>
      </c>
      <c r="L7" s="2">
        <v>0</v>
      </c>
    </row>
    <row r="8" spans="1:12" x14ac:dyDescent="0.3">
      <c r="A8" s="1">
        <v>6</v>
      </c>
      <c r="B8" s="1">
        <f t="shared" si="0"/>
        <v>7</v>
      </c>
      <c r="C8" s="2">
        <v>432</v>
      </c>
      <c r="D8" s="2">
        <v>48</v>
      </c>
      <c r="E8" s="2">
        <v>72</v>
      </c>
      <c r="F8" s="2">
        <v>69</v>
      </c>
      <c r="G8" s="2" t="s">
        <v>22</v>
      </c>
      <c r="H8" s="2">
        <v>6</v>
      </c>
      <c r="I8" s="2"/>
      <c r="J8" s="2"/>
      <c r="K8" s="2">
        <v>0</v>
      </c>
      <c r="L8" s="2">
        <v>0</v>
      </c>
    </row>
    <row r="9" spans="1:12" x14ac:dyDescent="0.3">
      <c r="A9" s="1">
        <v>7</v>
      </c>
      <c r="B9" s="1">
        <f t="shared" si="0"/>
        <v>8</v>
      </c>
      <c r="C9" s="2">
        <v>504</v>
      </c>
      <c r="D9" s="2">
        <v>48</v>
      </c>
      <c r="E9" s="2">
        <v>72</v>
      </c>
      <c r="F9" s="2">
        <v>69</v>
      </c>
      <c r="G9" s="2" t="s">
        <v>23</v>
      </c>
      <c r="H9" s="2">
        <v>7</v>
      </c>
      <c r="I9" s="2"/>
      <c r="J9" s="2"/>
      <c r="K9" s="2">
        <v>0</v>
      </c>
      <c r="L9" s="2">
        <v>0</v>
      </c>
    </row>
    <row r="10" spans="1:12" x14ac:dyDescent="0.3">
      <c r="A10" s="1">
        <v>8</v>
      </c>
      <c r="B10" s="1">
        <f t="shared" si="0"/>
        <v>9</v>
      </c>
      <c r="C10" s="2">
        <v>576</v>
      </c>
      <c r="D10" s="2">
        <v>48</v>
      </c>
      <c r="E10" s="2">
        <v>72</v>
      </c>
      <c r="F10" s="2">
        <v>69</v>
      </c>
      <c r="G10" s="2" t="s">
        <v>25</v>
      </c>
      <c r="H10" s="2">
        <v>8</v>
      </c>
      <c r="I10" s="2"/>
      <c r="J10" s="2"/>
      <c r="K10" s="2">
        <v>0</v>
      </c>
      <c r="L10" s="2">
        <v>0</v>
      </c>
    </row>
    <row r="11" spans="1:12" x14ac:dyDescent="0.3">
      <c r="A11" s="1">
        <v>9</v>
      </c>
      <c r="B11" s="1">
        <f t="shared" si="0"/>
        <v>10</v>
      </c>
      <c r="C11" s="2">
        <v>648</v>
      </c>
      <c r="D11" s="2">
        <v>48</v>
      </c>
      <c r="E11" s="2">
        <v>72</v>
      </c>
      <c r="F11" s="2">
        <v>69</v>
      </c>
      <c r="G11" s="2" t="s">
        <v>27</v>
      </c>
      <c r="H11" s="2">
        <v>9</v>
      </c>
      <c r="I11" s="2"/>
      <c r="J11" s="2"/>
      <c r="K11" s="2">
        <v>0</v>
      </c>
      <c r="L11" s="2">
        <v>0</v>
      </c>
    </row>
    <row r="12" spans="1:12" x14ac:dyDescent="0.3">
      <c r="A12" s="1">
        <v>0</v>
      </c>
      <c r="B12" s="1">
        <f t="shared" si="0"/>
        <v>11</v>
      </c>
      <c r="C12" s="2">
        <v>720</v>
      </c>
      <c r="D12" s="2">
        <v>48</v>
      </c>
      <c r="E12" s="2">
        <v>72</v>
      </c>
      <c r="F12" s="2">
        <v>69</v>
      </c>
      <c r="G12" s="2" t="s">
        <v>29</v>
      </c>
      <c r="H12" s="2">
        <v>0</v>
      </c>
      <c r="I12" s="2"/>
      <c r="J12" s="2"/>
      <c r="K12" s="2">
        <v>0</v>
      </c>
      <c r="L12" s="2">
        <v>0</v>
      </c>
    </row>
    <row r="13" spans="1:12" x14ac:dyDescent="0.3">
      <c r="A13" s="1" t="s">
        <v>32</v>
      </c>
      <c r="B13" s="1">
        <f t="shared" si="0"/>
        <v>12</v>
      </c>
      <c r="C13" s="2">
        <v>792</v>
      </c>
      <c r="D13" s="2">
        <v>48</v>
      </c>
      <c r="E13" s="2">
        <v>72</v>
      </c>
      <c r="F13" s="2">
        <v>69</v>
      </c>
      <c r="G13" s="2" t="s">
        <v>31</v>
      </c>
      <c r="H13" s="2" t="s">
        <v>32</v>
      </c>
      <c r="I13" s="2"/>
      <c r="J13" s="2"/>
      <c r="K13" s="2">
        <v>0</v>
      </c>
      <c r="L13" s="2">
        <v>0</v>
      </c>
    </row>
    <row r="14" spans="1:12" x14ac:dyDescent="0.3">
      <c r="A14" s="1" t="s">
        <v>35</v>
      </c>
      <c r="B14" s="1">
        <f t="shared" si="0"/>
        <v>13</v>
      </c>
      <c r="C14" s="2">
        <v>864</v>
      </c>
      <c r="D14" s="2">
        <v>48</v>
      </c>
      <c r="E14" s="2">
        <v>72</v>
      </c>
      <c r="F14" s="2">
        <v>69</v>
      </c>
      <c r="G14" s="2" t="s">
        <v>34</v>
      </c>
      <c r="H14" s="2" t="s">
        <v>35</v>
      </c>
      <c r="I14" s="2"/>
      <c r="J14" s="2"/>
      <c r="K14" s="2">
        <v>0</v>
      </c>
      <c r="L14" s="2">
        <v>0</v>
      </c>
    </row>
    <row r="15" spans="1:12" x14ac:dyDescent="0.3">
      <c r="A15" s="1" t="s">
        <v>36</v>
      </c>
      <c r="B15" s="1">
        <f t="shared" si="0"/>
        <v>14</v>
      </c>
      <c r="C15" s="2">
        <v>936</v>
      </c>
      <c r="D15" s="2">
        <v>48</v>
      </c>
      <c r="E15" s="2">
        <v>108</v>
      </c>
      <c r="F15" s="2">
        <v>69</v>
      </c>
      <c r="G15" s="2"/>
      <c r="H15" s="2" t="s">
        <v>36</v>
      </c>
      <c r="I15" s="2"/>
      <c r="J15" s="2"/>
      <c r="K15" s="2">
        <v>0</v>
      </c>
      <c r="L15" s="2">
        <v>0</v>
      </c>
    </row>
    <row r="16" spans="1:12" x14ac:dyDescent="0.3">
      <c r="A16" s="1" t="s">
        <v>37</v>
      </c>
      <c r="B16" s="1">
        <f t="shared" si="0"/>
        <v>15</v>
      </c>
      <c r="C16" s="2">
        <v>0</v>
      </c>
      <c r="D16" s="2">
        <v>117</v>
      </c>
      <c r="E16" s="2">
        <v>108</v>
      </c>
      <c r="F16" s="2">
        <v>69</v>
      </c>
      <c r="G16" s="2"/>
      <c r="H16" s="2" t="s">
        <v>37</v>
      </c>
      <c r="I16" s="2"/>
      <c r="J16" s="2"/>
      <c r="K16" s="2">
        <v>0</v>
      </c>
      <c r="L16" s="2">
        <v>0</v>
      </c>
    </row>
    <row r="17" spans="1:12" x14ac:dyDescent="0.3">
      <c r="A17" s="1" t="s">
        <v>39</v>
      </c>
      <c r="B17" s="1">
        <f t="shared" si="0"/>
        <v>16</v>
      </c>
      <c r="C17" s="2">
        <v>108</v>
      </c>
      <c r="D17" s="2">
        <v>117</v>
      </c>
      <c r="E17" s="2">
        <v>72</v>
      </c>
      <c r="F17" s="2">
        <v>69</v>
      </c>
      <c r="G17" s="2" t="s">
        <v>38</v>
      </c>
      <c r="H17" s="2" t="s">
        <v>39</v>
      </c>
      <c r="I17" s="2"/>
      <c r="J17" s="2"/>
      <c r="K17" s="2">
        <v>1</v>
      </c>
      <c r="L17" s="2">
        <v>0</v>
      </c>
    </row>
    <row r="18" spans="1:12" x14ac:dyDescent="0.3">
      <c r="A18" s="1" t="s">
        <v>42</v>
      </c>
      <c r="B18" s="1">
        <f t="shared" si="0"/>
        <v>17</v>
      </c>
      <c r="C18" s="2">
        <v>180</v>
      </c>
      <c r="D18" s="2">
        <v>117</v>
      </c>
      <c r="E18" s="2">
        <v>72</v>
      </c>
      <c r="F18" s="2">
        <v>69</v>
      </c>
      <c r="G18" s="2" t="s">
        <v>41</v>
      </c>
      <c r="H18" s="2" t="s">
        <v>42</v>
      </c>
      <c r="I18" s="2"/>
      <c r="J18" s="2"/>
      <c r="K18" s="2">
        <v>1</v>
      </c>
      <c r="L18" s="2">
        <v>0</v>
      </c>
    </row>
    <row r="19" spans="1:12" x14ac:dyDescent="0.3">
      <c r="A19" s="1" t="s">
        <v>44</v>
      </c>
      <c r="B19" s="1">
        <f t="shared" si="0"/>
        <v>18</v>
      </c>
      <c r="C19" s="2">
        <v>252</v>
      </c>
      <c r="D19" s="2">
        <v>117</v>
      </c>
      <c r="E19" s="2">
        <v>72</v>
      </c>
      <c r="F19" s="2">
        <v>69</v>
      </c>
      <c r="G19" s="2" t="s">
        <v>43</v>
      </c>
      <c r="H19" s="2" t="s">
        <v>44</v>
      </c>
      <c r="I19" s="2"/>
      <c r="J19" s="2" t="s">
        <v>45</v>
      </c>
      <c r="K19" s="2">
        <v>1</v>
      </c>
      <c r="L19" s="2">
        <v>0</v>
      </c>
    </row>
    <row r="20" spans="1:12" x14ac:dyDescent="0.3">
      <c r="A20" s="1" t="s">
        <v>47</v>
      </c>
      <c r="B20" s="1">
        <f t="shared" si="0"/>
        <v>19</v>
      </c>
      <c r="C20" s="2">
        <v>324</v>
      </c>
      <c r="D20" s="2">
        <v>117</v>
      </c>
      <c r="E20" s="2">
        <v>72</v>
      </c>
      <c r="F20" s="2">
        <v>69</v>
      </c>
      <c r="G20" s="2" t="s">
        <v>46</v>
      </c>
      <c r="H20" s="2" t="s">
        <v>47</v>
      </c>
      <c r="I20" s="2"/>
      <c r="J20" s="2"/>
      <c r="K20" s="2">
        <v>1</v>
      </c>
      <c r="L20" s="2">
        <v>0</v>
      </c>
    </row>
    <row r="21" spans="1:12" x14ac:dyDescent="0.3">
      <c r="A21" s="1" t="s">
        <v>49</v>
      </c>
      <c r="B21" s="1">
        <f t="shared" si="0"/>
        <v>20</v>
      </c>
      <c r="C21" s="2">
        <v>396</v>
      </c>
      <c r="D21" s="2">
        <v>117</v>
      </c>
      <c r="E21" s="2">
        <v>72</v>
      </c>
      <c r="F21" s="2">
        <v>69</v>
      </c>
      <c r="G21" s="2" t="s">
        <v>48</v>
      </c>
      <c r="H21" s="2" t="s">
        <v>49</v>
      </c>
      <c r="I21" s="2"/>
      <c r="J21" s="2"/>
      <c r="K21" s="2">
        <v>1</v>
      </c>
      <c r="L21" s="2">
        <v>0</v>
      </c>
    </row>
    <row r="22" spans="1:12" x14ac:dyDescent="0.3">
      <c r="A22" s="1" t="s">
        <v>51</v>
      </c>
      <c r="B22" s="1">
        <f t="shared" si="0"/>
        <v>21</v>
      </c>
      <c r="C22" s="2">
        <v>468</v>
      </c>
      <c r="D22" s="2">
        <v>117</v>
      </c>
      <c r="E22" s="2">
        <v>72</v>
      </c>
      <c r="F22" s="2">
        <v>69</v>
      </c>
      <c r="G22" s="2" t="s">
        <v>50</v>
      </c>
      <c r="H22" s="2" t="s">
        <v>51</v>
      </c>
      <c r="I22" s="2"/>
      <c r="J22" s="2"/>
      <c r="K22" s="2">
        <v>1</v>
      </c>
      <c r="L22" s="2">
        <v>0</v>
      </c>
    </row>
    <row r="23" spans="1:12" x14ac:dyDescent="0.3">
      <c r="A23" s="1" t="s">
        <v>53</v>
      </c>
      <c r="B23" s="1">
        <f t="shared" si="0"/>
        <v>22</v>
      </c>
      <c r="C23" s="2">
        <v>540</v>
      </c>
      <c r="D23" s="2">
        <v>117</v>
      </c>
      <c r="E23" s="2">
        <v>72</v>
      </c>
      <c r="F23" s="2">
        <v>69</v>
      </c>
      <c r="G23" s="2" t="s">
        <v>52</v>
      </c>
      <c r="H23" s="2" t="s">
        <v>53</v>
      </c>
      <c r="I23" s="2"/>
      <c r="J23" s="2"/>
      <c r="K23" s="2">
        <v>1</v>
      </c>
      <c r="L23" s="2">
        <v>0</v>
      </c>
    </row>
    <row r="24" spans="1:12" x14ac:dyDescent="0.3">
      <c r="A24" s="1" t="s">
        <v>55</v>
      </c>
      <c r="B24" s="1">
        <f t="shared" si="0"/>
        <v>23</v>
      </c>
      <c r="C24" s="2">
        <v>612</v>
      </c>
      <c r="D24" s="2">
        <v>117</v>
      </c>
      <c r="E24" s="2">
        <v>72</v>
      </c>
      <c r="F24" s="2">
        <v>69</v>
      </c>
      <c r="G24" s="2" t="s">
        <v>54</v>
      </c>
      <c r="H24" s="2" t="s">
        <v>55</v>
      </c>
      <c r="I24" s="2"/>
      <c r="J24" s="2"/>
      <c r="K24" s="2">
        <v>1</v>
      </c>
      <c r="L24" s="2">
        <v>0</v>
      </c>
    </row>
    <row r="25" spans="1:12" x14ac:dyDescent="0.3">
      <c r="A25" s="1" t="s">
        <v>57</v>
      </c>
      <c r="B25" s="1">
        <f t="shared" si="0"/>
        <v>24</v>
      </c>
      <c r="C25" s="2">
        <v>684</v>
      </c>
      <c r="D25" s="2">
        <v>117</v>
      </c>
      <c r="E25" s="2">
        <v>72</v>
      </c>
      <c r="F25" s="2">
        <v>69</v>
      </c>
      <c r="G25" s="2" t="s">
        <v>56</v>
      </c>
      <c r="H25" s="2" t="s">
        <v>57</v>
      </c>
      <c r="I25" s="2"/>
      <c r="J25" s="2"/>
      <c r="K25" s="2">
        <v>1</v>
      </c>
      <c r="L25" s="2">
        <v>0</v>
      </c>
    </row>
    <row r="26" spans="1:12" x14ac:dyDescent="0.3">
      <c r="A26" s="1" t="s">
        <v>59</v>
      </c>
      <c r="B26" s="1">
        <f t="shared" si="0"/>
        <v>25</v>
      </c>
      <c r="C26" s="2">
        <v>756</v>
      </c>
      <c r="D26" s="2">
        <v>117</v>
      </c>
      <c r="E26" s="2">
        <v>72</v>
      </c>
      <c r="F26" s="2">
        <v>69</v>
      </c>
      <c r="G26" s="2" t="s">
        <v>58</v>
      </c>
      <c r="H26" s="2" t="s">
        <v>59</v>
      </c>
      <c r="I26" s="2"/>
      <c r="J26" s="2"/>
      <c r="K26" s="2">
        <v>1</v>
      </c>
      <c r="L26" s="2">
        <v>0</v>
      </c>
    </row>
    <row r="27" spans="1:12" x14ac:dyDescent="0.3">
      <c r="A27" s="1" t="s">
        <v>61</v>
      </c>
      <c r="B27" s="1">
        <f t="shared" si="0"/>
        <v>26</v>
      </c>
      <c r="C27" s="2">
        <v>828</v>
      </c>
      <c r="D27" s="2">
        <v>117</v>
      </c>
      <c r="E27" s="2">
        <v>72</v>
      </c>
      <c r="F27" s="2">
        <v>69</v>
      </c>
      <c r="G27" s="2" t="s">
        <v>60</v>
      </c>
      <c r="H27" s="2" t="s">
        <v>61</v>
      </c>
      <c r="I27" s="2"/>
      <c r="J27" s="2"/>
      <c r="K27" s="2">
        <v>0</v>
      </c>
      <c r="L27" s="2">
        <v>0</v>
      </c>
    </row>
    <row r="28" spans="1:12" x14ac:dyDescent="0.3">
      <c r="A28" s="1" t="s">
        <v>63</v>
      </c>
      <c r="B28" s="1">
        <f t="shared" si="0"/>
        <v>27</v>
      </c>
      <c r="C28" s="2">
        <v>900</v>
      </c>
      <c r="D28" s="2">
        <v>117</v>
      </c>
      <c r="E28" s="2">
        <v>72</v>
      </c>
      <c r="F28" s="2">
        <v>69</v>
      </c>
      <c r="G28" s="2" t="s">
        <v>62</v>
      </c>
      <c r="H28" s="2" t="s">
        <v>63</v>
      </c>
      <c r="I28" s="2"/>
      <c r="J28" s="2"/>
      <c r="K28" s="2">
        <v>0</v>
      </c>
      <c r="L28" s="2">
        <v>0</v>
      </c>
    </row>
    <row r="29" spans="1:12" x14ac:dyDescent="0.3">
      <c r="A29" s="1" t="s">
        <v>246</v>
      </c>
      <c r="B29" s="1">
        <f t="shared" si="0"/>
        <v>28</v>
      </c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3">
      <c r="A30" s="1" t="s">
        <v>65</v>
      </c>
      <c r="B30" s="1">
        <f t="shared" si="0"/>
        <v>29</v>
      </c>
      <c r="C30" s="2">
        <v>0</v>
      </c>
      <c r="D30" s="2">
        <v>186</v>
      </c>
      <c r="E30" s="2">
        <v>126</v>
      </c>
      <c r="F30" s="2">
        <v>69</v>
      </c>
      <c r="G30" s="2"/>
      <c r="H30" s="2" t="s">
        <v>65</v>
      </c>
      <c r="I30" s="2"/>
      <c r="J30" s="2"/>
      <c r="K30" s="2">
        <v>0</v>
      </c>
      <c r="L30" s="2">
        <v>0</v>
      </c>
    </row>
    <row r="31" spans="1:12" x14ac:dyDescent="0.3">
      <c r="A31" s="1" t="s">
        <v>67</v>
      </c>
      <c r="B31" s="1">
        <f t="shared" si="0"/>
        <v>30</v>
      </c>
      <c r="C31" s="2">
        <v>126</v>
      </c>
      <c r="D31" s="2">
        <v>186</v>
      </c>
      <c r="E31" s="2">
        <v>72</v>
      </c>
      <c r="F31" s="2">
        <v>69</v>
      </c>
      <c r="G31" s="2" t="s">
        <v>66</v>
      </c>
      <c r="H31" s="2" t="s">
        <v>67</v>
      </c>
      <c r="I31" s="2"/>
      <c r="J31" s="2"/>
      <c r="K31" s="2">
        <v>1</v>
      </c>
      <c r="L31" s="2">
        <v>0</v>
      </c>
    </row>
    <row r="32" spans="1:12" x14ac:dyDescent="0.3">
      <c r="A32" s="1" t="s">
        <v>69</v>
      </c>
      <c r="B32" s="1">
        <f t="shared" si="0"/>
        <v>31</v>
      </c>
      <c r="C32" s="2">
        <v>198</v>
      </c>
      <c r="D32" s="2">
        <v>186</v>
      </c>
      <c r="E32" s="2">
        <v>72</v>
      </c>
      <c r="F32" s="2">
        <v>69</v>
      </c>
      <c r="G32" s="2" t="s">
        <v>68</v>
      </c>
      <c r="H32" s="2" t="s">
        <v>69</v>
      </c>
      <c r="I32" s="2"/>
      <c r="J32" s="2"/>
      <c r="K32" s="2">
        <v>1</v>
      </c>
      <c r="L32" s="2">
        <v>0</v>
      </c>
    </row>
    <row r="33" spans="1:12" x14ac:dyDescent="0.3">
      <c r="A33" s="1" t="s">
        <v>71</v>
      </c>
      <c r="B33" s="1">
        <f t="shared" si="0"/>
        <v>32</v>
      </c>
      <c r="C33" s="2">
        <v>270</v>
      </c>
      <c r="D33" s="2">
        <v>186</v>
      </c>
      <c r="E33" s="2">
        <v>72</v>
      </c>
      <c r="F33" s="2">
        <v>69</v>
      </c>
      <c r="G33" s="2" t="s">
        <v>70</v>
      </c>
      <c r="H33" s="2" t="s">
        <v>71</v>
      </c>
      <c r="I33" s="2"/>
      <c r="J33" s="2"/>
      <c r="K33" s="2">
        <v>1</v>
      </c>
      <c r="L33" s="2">
        <v>0</v>
      </c>
    </row>
    <row r="34" spans="1:12" x14ac:dyDescent="0.3">
      <c r="A34" s="1" t="s">
        <v>73</v>
      </c>
      <c r="B34" s="1">
        <f t="shared" si="0"/>
        <v>33</v>
      </c>
      <c r="C34" s="2">
        <v>342</v>
      </c>
      <c r="D34" s="2">
        <v>186</v>
      </c>
      <c r="E34" s="2">
        <v>72</v>
      </c>
      <c r="F34" s="2">
        <v>69</v>
      </c>
      <c r="G34" s="2" t="s">
        <v>72</v>
      </c>
      <c r="H34" s="2" t="s">
        <v>73</v>
      </c>
      <c r="I34" s="2"/>
      <c r="J34" s="2"/>
      <c r="K34" s="2">
        <v>1</v>
      </c>
      <c r="L34" s="2">
        <v>0</v>
      </c>
    </row>
    <row r="35" spans="1:12" x14ac:dyDescent="0.3">
      <c r="A35" s="1" t="s">
        <v>75</v>
      </c>
      <c r="B35" s="1">
        <f t="shared" si="0"/>
        <v>34</v>
      </c>
      <c r="C35" s="2">
        <v>414</v>
      </c>
      <c r="D35" s="2">
        <v>186</v>
      </c>
      <c r="E35" s="2">
        <v>72</v>
      </c>
      <c r="F35" s="2">
        <v>69</v>
      </c>
      <c r="G35" s="2" t="s">
        <v>74</v>
      </c>
      <c r="H35" s="2" t="s">
        <v>75</v>
      </c>
      <c r="I35" s="2"/>
      <c r="J35" s="2"/>
      <c r="K35" s="2">
        <v>1</v>
      </c>
      <c r="L35" s="2">
        <v>0</v>
      </c>
    </row>
    <row r="36" spans="1:12" x14ac:dyDescent="0.3">
      <c r="A36" s="1" t="s">
        <v>77</v>
      </c>
      <c r="B36" s="1">
        <f t="shared" si="0"/>
        <v>35</v>
      </c>
      <c r="C36" s="2">
        <v>486</v>
      </c>
      <c r="D36" s="2">
        <v>186</v>
      </c>
      <c r="E36" s="2">
        <v>72</v>
      </c>
      <c r="F36" s="2">
        <v>69</v>
      </c>
      <c r="G36" s="2" t="s">
        <v>76</v>
      </c>
      <c r="H36" s="2" t="s">
        <v>77</v>
      </c>
      <c r="I36" s="2"/>
      <c r="J36" s="2"/>
      <c r="K36" s="2">
        <v>1</v>
      </c>
      <c r="L36" s="2">
        <v>0</v>
      </c>
    </row>
    <row r="37" spans="1:12" x14ac:dyDescent="0.3">
      <c r="A37" s="1" t="s">
        <v>79</v>
      </c>
      <c r="B37" s="1">
        <f t="shared" si="0"/>
        <v>36</v>
      </c>
      <c r="C37" s="2">
        <v>558</v>
      </c>
      <c r="D37" s="2">
        <v>186</v>
      </c>
      <c r="E37" s="2">
        <v>72</v>
      </c>
      <c r="F37" s="2">
        <v>69</v>
      </c>
      <c r="G37" s="2" t="s">
        <v>78</v>
      </c>
      <c r="H37" s="2" t="s">
        <v>79</v>
      </c>
      <c r="I37" s="2"/>
      <c r="J37" s="2"/>
      <c r="K37" s="2">
        <v>1</v>
      </c>
      <c r="L37" s="2">
        <v>0</v>
      </c>
    </row>
    <row r="38" spans="1:12" x14ac:dyDescent="0.3">
      <c r="A38" s="1" t="s">
        <v>81</v>
      </c>
      <c r="B38" s="1">
        <f t="shared" si="0"/>
        <v>37</v>
      </c>
      <c r="C38" s="2">
        <v>630</v>
      </c>
      <c r="D38" s="2">
        <v>186</v>
      </c>
      <c r="E38" s="2">
        <v>72</v>
      </c>
      <c r="F38" s="2">
        <v>69</v>
      </c>
      <c r="G38" s="2" t="s">
        <v>80</v>
      </c>
      <c r="H38" s="2" t="s">
        <v>81</v>
      </c>
      <c r="I38" s="2"/>
      <c r="J38" s="2"/>
      <c r="K38" s="2">
        <v>1</v>
      </c>
      <c r="L38" s="2">
        <v>0</v>
      </c>
    </row>
    <row r="39" spans="1:12" x14ac:dyDescent="0.3">
      <c r="A39" s="1" t="s">
        <v>83</v>
      </c>
      <c r="B39" s="1">
        <f t="shared" si="0"/>
        <v>38</v>
      </c>
      <c r="C39" s="2">
        <v>702</v>
      </c>
      <c r="D39" s="2">
        <v>186</v>
      </c>
      <c r="E39" s="2">
        <v>72</v>
      </c>
      <c r="F39" s="2">
        <v>69</v>
      </c>
      <c r="G39" s="2" t="s">
        <v>82</v>
      </c>
      <c r="H39" s="2" t="s">
        <v>83</v>
      </c>
      <c r="I39" s="2"/>
      <c r="J39" s="2" t="s">
        <v>40</v>
      </c>
      <c r="K39" s="2">
        <v>1</v>
      </c>
      <c r="L39" s="2">
        <v>0</v>
      </c>
    </row>
    <row r="40" spans="1:12" x14ac:dyDescent="0.3">
      <c r="A40" s="1" t="s">
        <v>85</v>
      </c>
      <c r="B40" s="1">
        <f t="shared" si="0"/>
        <v>39</v>
      </c>
      <c r="C40" s="2">
        <v>774</v>
      </c>
      <c r="D40" s="2">
        <v>186</v>
      </c>
      <c r="E40" s="2">
        <v>72</v>
      </c>
      <c r="F40" s="2">
        <v>69</v>
      </c>
      <c r="G40" s="2" t="s">
        <v>84</v>
      </c>
      <c r="H40" s="2" t="s">
        <v>85</v>
      </c>
      <c r="I40" s="2"/>
      <c r="J40" s="2"/>
      <c r="K40" s="2">
        <v>0</v>
      </c>
      <c r="L40" s="2">
        <v>0</v>
      </c>
    </row>
    <row r="41" spans="1:12" x14ac:dyDescent="0.3">
      <c r="A41" s="1" t="s">
        <v>87</v>
      </c>
      <c r="B41" s="1">
        <f t="shared" si="0"/>
        <v>40</v>
      </c>
      <c r="C41" s="2">
        <v>846</v>
      </c>
      <c r="D41" s="2">
        <v>186</v>
      </c>
      <c r="E41" s="2">
        <v>72</v>
      </c>
      <c r="F41" s="2">
        <v>69</v>
      </c>
      <c r="G41" s="2" t="s">
        <v>86</v>
      </c>
      <c r="H41" s="2" t="s">
        <v>87</v>
      </c>
      <c r="I41" s="2"/>
      <c r="J41" s="2"/>
      <c r="K41" s="2">
        <v>0</v>
      </c>
      <c r="L41" s="2">
        <v>0</v>
      </c>
    </row>
    <row r="42" spans="1:12" x14ac:dyDescent="0.3">
      <c r="A42" s="1" t="s">
        <v>16</v>
      </c>
      <c r="B42" s="1">
        <f t="shared" si="0"/>
        <v>41</v>
      </c>
      <c r="C42" s="2">
        <v>918</v>
      </c>
      <c r="D42" s="2">
        <v>186</v>
      </c>
      <c r="E42" s="2">
        <v>72</v>
      </c>
      <c r="F42" s="2">
        <v>69</v>
      </c>
      <c r="G42" s="9" t="s">
        <v>244</v>
      </c>
      <c r="H42" s="2" t="s">
        <v>16</v>
      </c>
      <c r="I42" s="2"/>
      <c r="J42" s="2"/>
      <c r="K42" s="2">
        <v>0</v>
      </c>
      <c r="L42" s="2">
        <v>0</v>
      </c>
    </row>
    <row r="43" spans="1:12" x14ac:dyDescent="0.3">
      <c r="A43" s="1" t="s">
        <v>89</v>
      </c>
      <c r="B43" s="1">
        <f t="shared" si="0"/>
        <v>42</v>
      </c>
      <c r="C43" s="2" t="s">
        <v>247</v>
      </c>
      <c r="D43" s="2">
        <v>186</v>
      </c>
      <c r="E43" s="2" t="s">
        <v>248</v>
      </c>
      <c r="F43" s="2">
        <v>69</v>
      </c>
      <c r="G43" s="2"/>
      <c r="H43" s="2" t="s">
        <v>89</v>
      </c>
      <c r="I43" s="2"/>
      <c r="J43" s="2"/>
      <c r="K43" s="2">
        <v>0</v>
      </c>
      <c r="L43" s="2">
        <v>0</v>
      </c>
    </row>
    <row r="44" spans="1:12" x14ac:dyDescent="0.3">
      <c r="A44" s="1" t="s">
        <v>90</v>
      </c>
      <c r="B44" s="1">
        <f t="shared" si="0"/>
        <v>43</v>
      </c>
      <c r="C44" s="2">
        <v>0</v>
      </c>
      <c r="D44" s="2">
        <v>255</v>
      </c>
      <c r="E44" s="2">
        <v>162</v>
      </c>
      <c r="F44" s="2">
        <v>69</v>
      </c>
      <c r="G44" s="2"/>
      <c r="H44" s="2" t="s">
        <v>90</v>
      </c>
      <c r="I44" s="2"/>
      <c r="J44" s="2"/>
      <c r="K44" s="2">
        <v>0</v>
      </c>
      <c r="L44" s="2">
        <v>0</v>
      </c>
    </row>
    <row r="45" spans="1:12" x14ac:dyDescent="0.3">
      <c r="A45" s="1" t="s">
        <v>92</v>
      </c>
      <c r="B45" s="1">
        <f t="shared" si="0"/>
        <v>44</v>
      </c>
      <c r="C45" s="2">
        <v>162</v>
      </c>
      <c r="D45" s="2">
        <v>255</v>
      </c>
      <c r="E45" s="2">
        <v>72</v>
      </c>
      <c r="F45" s="2">
        <v>69</v>
      </c>
      <c r="G45" s="2" t="s">
        <v>91</v>
      </c>
      <c r="H45" s="2" t="s">
        <v>92</v>
      </c>
      <c r="I45" s="2"/>
      <c r="J45" s="2"/>
      <c r="K45" s="2">
        <v>1</v>
      </c>
      <c r="L45" s="2">
        <v>0</v>
      </c>
    </row>
    <row r="46" spans="1:12" x14ac:dyDescent="0.3">
      <c r="A46" s="1" t="s">
        <v>95</v>
      </c>
      <c r="B46" s="1">
        <f t="shared" si="0"/>
        <v>45</v>
      </c>
      <c r="C46" s="2">
        <v>234</v>
      </c>
      <c r="D46" s="2">
        <v>255</v>
      </c>
      <c r="E46" s="2">
        <v>72</v>
      </c>
      <c r="F46" s="2">
        <v>69</v>
      </c>
      <c r="G46" s="2" t="s">
        <v>94</v>
      </c>
      <c r="H46" s="2" t="s">
        <v>95</v>
      </c>
      <c r="I46" s="2"/>
      <c r="J46" s="2"/>
      <c r="K46" s="2">
        <v>1</v>
      </c>
      <c r="L46" s="2">
        <v>0</v>
      </c>
    </row>
    <row r="47" spans="1:12" x14ac:dyDescent="0.3">
      <c r="A47" s="1" t="s">
        <v>97</v>
      </c>
      <c r="B47" s="1">
        <f t="shared" si="0"/>
        <v>46</v>
      </c>
      <c r="C47" s="2">
        <v>306</v>
      </c>
      <c r="D47" s="2">
        <v>255</v>
      </c>
      <c r="E47" s="2">
        <v>72</v>
      </c>
      <c r="F47" s="2">
        <v>69</v>
      </c>
      <c r="G47" s="2" t="s">
        <v>96</v>
      </c>
      <c r="H47" s="2" t="s">
        <v>97</v>
      </c>
      <c r="I47" s="2"/>
      <c r="J47" s="2"/>
      <c r="K47" s="2">
        <v>1</v>
      </c>
      <c r="L47" s="2">
        <v>0</v>
      </c>
    </row>
    <row r="48" spans="1:12" x14ac:dyDescent="0.3">
      <c r="A48" s="1" t="s">
        <v>99</v>
      </c>
      <c r="B48" s="1">
        <f t="shared" si="0"/>
        <v>47</v>
      </c>
      <c r="C48" s="2">
        <v>378</v>
      </c>
      <c r="D48" s="2">
        <v>255</v>
      </c>
      <c r="E48" s="2">
        <v>72</v>
      </c>
      <c r="F48" s="2">
        <v>69</v>
      </c>
      <c r="G48" s="2" t="s">
        <v>98</v>
      </c>
      <c r="H48" s="2" t="s">
        <v>99</v>
      </c>
      <c r="I48" s="2"/>
      <c r="J48" s="2"/>
      <c r="K48" s="2">
        <v>1</v>
      </c>
      <c r="L48" s="2">
        <v>0</v>
      </c>
    </row>
    <row r="49" spans="1:12" x14ac:dyDescent="0.3">
      <c r="A49" s="1" t="s">
        <v>101</v>
      </c>
      <c r="B49" s="1">
        <f t="shared" si="0"/>
        <v>48</v>
      </c>
      <c r="C49" s="2">
        <v>450</v>
      </c>
      <c r="D49" s="2">
        <v>255</v>
      </c>
      <c r="E49" s="2">
        <v>72</v>
      </c>
      <c r="F49" s="2">
        <v>69</v>
      </c>
      <c r="G49" s="2" t="s">
        <v>100</v>
      </c>
      <c r="H49" s="2" t="s">
        <v>101</v>
      </c>
      <c r="I49" s="2"/>
      <c r="J49" s="2"/>
      <c r="K49" s="2">
        <v>1</v>
      </c>
      <c r="L49" s="2">
        <v>0</v>
      </c>
    </row>
    <row r="50" spans="1:12" x14ac:dyDescent="0.3">
      <c r="A50" s="1" t="s">
        <v>103</v>
      </c>
      <c r="B50" s="1">
        <f t="shared" si="0"/>
        <v>49</v>
      </c>
      <c r="C50" s="2">
        <v>522</v>
      </c>
      <c r="D50" s="2">
        <v>255</v>
      </c>
      <c r="E50" s="2">
        <v>72</v>
      </c>
      <c r="F50" s="2">
        <v>69</v>
      </c>
      <c r="G50" s="2" t="s">
        <v>102</v>
      </c>
      <c r="H50" s="2" t="s">
        <v>103</v>
      </c>
      <c r="I50" s="2"/>
      <c r="J50" s="2"/>
      <c r="K50" s="2">
        <v>1</v>
      </c>
      <c r="L50" s="2">
        <v>0</v>
      </c>
    </row>
    <row r="51" spans="1:12" x14ac:dyDescent="0.3">
      <c r="A51" s="1" t="s">
        <v>105</v>
      </c>
      <c r="B51" s="1">
        <f t="shared" si="0"/>
        <v>50</v>
      </c>
      <c r="C51" s="2">
        <v>594</v>
      </c>
      <c r="D51" s="2">
        <v>255</v>
      </c>
      <c r="E51" s="2">
        <v>72</v>
      </c>
      <c r="F51" s="2">
        <v>69</v>
      </c>
      <c r="G51" s="2" t="s">
        <v>104</v>
      </c>
      <c r="H51" s="2" t="s">
        <v>105</v>
      </c>
      <c r="I51" s="2"/>
      <c r="J51" s="2"/>
      <c r="K51" s="2">
        <v>1</v>
      </c>
      <c r="L51" s="2">
        <v>0</v>
      </c>
    </row>
    <row r="52" spans="1:12" x14ac:dyDescent="0.3">
      <c r="A52" s="1" t="s">
        <v>107</v>
      </c>
      <c r="B52" s="1">
        <f t="shared" si="0"/>
        <v>51</v>
      </c>
      <c r="C52" s="2">
        <v>666</v>
      </c>
      <c r="D52" s="2">
        <v>255</v>
      </c>
      <c r="E52" s="2">
        <v>72</v>
      </c>
      <c r="F52" s="2">
        <v>69</v>
      </c>
      <c r="G52" s="2" t="s">
        <v>106</v>
      </c>
      <c r="H52" s="2" t="s">
        <v>107</v>
      </c>
      <c r="I52" s="2"/>
      <c r="J52" s="2"/>
      <c r="K52" s="2">
        <v>0</v>
      </c>
      <c r="L52" s="2">
        <v>0</v>
      </c>
    </row>
    <row r="53" spans="1:12" x14ac:dyDescent="0.3">
      <c r="A53" s="1" t="s">
        <v>110</v>
      </c>
      <c r="B53" s="1">
        <f t="shared" si="0"/>
        <v>52</v>
      </c>
      <c r="C53" s="2">
        <v>738</v>
      </c>
      <c r="D53" s="2">
        <v>255</v>
      </c>
      <c r="E53" s="2">
        <v>72</v>
      </c>
      <c r="F53" s="2">
        <v>69</v>
      </c>
      <c r="G53" s="2" t="s">
        <v>109</v>
      </c>
      <c r="H53" s="2" t="s">
        <v>110</v>
      </c>
      <c r="I53" s="2"/>
      <c r="J53" s="2"/>
      <c r="K53" s="2">
        <v>0</v>
      </c>
      <c r="L53" s="2">
        <v>0</v>
      </c>
    </row>
    <row r="54" spans="1:12" x14ac:dyDescent="0.3">
      <c r="A54" s="1" t="s">
        <v>112</v>
      </c>
      <c r="B54" s="1">
        <f t="shared" si="0"/>
        <v>53</v>
      </c>
      <c r="C54" s="2">
        <v>810</v>
      </c>
      <c r="D54" s="2">
        <v>255</v>
      </c>
      <c r="E54" s="2">
        <v>72</v>
      </c>
      <c r="F54" s="2">
        <v>69</v>
      </c>
      <c r="G54" s="2" t="s">
        <v>111</v>
      </c>
      <c r="H54" s="2" t="s">
        <v>112</v>
      </c>
      <c r="I54" s="2"/>
      <c r="J54" s="2"/>
      <c r="K54" s="2">
        <v>0</v>
      </c>
      <c r="L54" s="2">
        <v>0</v>
      </c>
    </row>
    <row r="55" spans="1:12" x14ac:dyDescent="0.3">
      <c r="A55" s="1" t="s">
        <v>114</v>
      </c>
      <c r="B55" s="1">
        <f t="shared" si="0"/>
        <v>54</v>
      </c>
      <c r="C55" s="2">
        <v>810</v>
      </c>
      <c r="D55" s="2">
        <v>255</v>
      </c>
      <c r="E55" s="2">
        <v>72</v>
      </c>
      <c r="F55" s="2">
        <v>69</v>
      </c>
      <c r="G55" s="2" t="s">
        <v>113</v>
      </c>
      <c r="H55" s="2" t="s">
        <v>114</v>
      </c>
      <c r="I55" s="2"/>
      <c r="J55" s="2"/>
      <c r="K55" s="2">
        <v>0</v>
      </c>
      <c r="L55" s="2">
        <v>0</v>
      </c>
    </row>
    <row r="56" spans="1:12" x14ac:dyDescent="0.3">
      <c r="A56" s="1" t="s">
        <v>115</v>
      </c>
      <c r="B56" s="1">
        <f t="shared" si="0"/>
        <v>55</v>
      </c>
      <c r="C56" s="2">
        <v>882</v>
      </c>
      <c r="D56" s="2">
        <v>255</v>
      </c>
      <c r="E56" s="2">
        <v>162</v>
      </c>
      <c r="F56" s="2">
        <v>69</v>
      </c>
      <c r="G56" s="2"/>
      <c r="H56" s="2" t="s">
        <v>115</v>
      </c>
      <c r="I56" s="2"/>
      <c r="J56" s="2"/>
      <c r="K56" s="2">
        <v>0</v>
      </c>
      <c r="L56" s="2">
        <v>0</v>
      </c>
    </row>
    <row r="57" spans="1:12" x14ac:dyDescent="0.3">
      <c r="A57" s="1" t="s">
        <v>116</v>
      </c>
      <c r="B57" s="1">
        <f t="shared" si="0"/>
        <v>56</v>
      </c>
      <c r="C57" s="2">
        <v>0</v>
      </c>
      <c r="D57" s="2">
        <v>324</v>
      </c>
      <c r="E57" s="2">
        <v>108</v>
      </c>
      <c r="F57" s="2">
        <v>84</v>
      </c>
      <c r="G57" s="2"/>
      <c r="H57" s="2" t="s">
        <v>116</v>
      </c>
      <c r="I57" s="2"/>
      <c r="J57" s="2"/>
      <c r="K57" s="2">
        <v>0</v>
      </c>
      <c r="L57" s="2">
        <v>0</v>
      </c>
    </row>
    <row r="58" spans="1:12" x14ac:dyDescent="0.3">
      <c r="A58" s="1" t="s">
        <v>216</v>
      </c>
      <c r="B58" s="1">
        <f t="shared" si="0"/>
        <v>57</v>
      </c>
      <c r="C58" s="2">
        <v>108</v>
      </c>
      <c r="D58" s="2">
        <v>324</v>
      </c>
      <c r="E58" s="2">
        <v>90</v>
      </c>
      <c r="F58" s="2">
        <v>84</v>
      </c>
      <c r="G58" s="2"/>
      <c r="H58" s="2" t="s">
        <v>216</v>
      </c>
      <c r="I58" s="2"/>
      <c r="J58" s="2"/>
      <c r="K58" s="2">
        <v>0</v>
      </c>
      <c r="L58" s="2">
        <v>0</v>
      </c>
    </row>
    <row r="59" spans="1:12" x14ac:dyDescent="0.3">
      <c r="A59" s="1" t="s">
        <v>118</v>
      </c>
      <c r="B59" s="1">
        <f t="shared" si="0"/>
        <v>58</v>
      </c>
      <c r="C59" s="2">
        <v>306</v>
      </c>
      <c r="D59" s="2">
        <v>324</v>
      </c>
      <c r="E59" s="2">
        <v>432</v>
      </c>
      <c r="F59" s="2">
        <v>84</v>
      </c>
      <c r="G59" s="2"/>
      <c r="H59" s="2" t="s">
        <v>118</v>
      </c>
      <c r="I59" s="2"/>
      <c r="J59" s="2"/>
      <c r="K59" s="2">
        <v>0</v>
      </c>
      <c r="L59" s="2">
        <v>0</v>
      </c>
    </row>
    <row r="60" spans="1:12" x14ac:dyDescent="0.3">
      <c r="A60" s="1" t="s">
        <v>171</v>
      </c>
      <c r="B60" s="1">
        <f t="shared" si="0"/>
        <v>59</v>
      </c>
      <c r="C60" s="2">
        <v>936</v>
      </c>
      <c r="D60" s="2">
        <v>324</v>
      </c>
      <c r="E60" s="2">
        <v>108</v>
      </c>
      <c r="F60" s="2">
        <v>84</v>
      </c>
      <c r="G60" s="2"/>
      <c r="H60" s="2" t="s">
        <v>171</v>
      </c>
      <c r="I60" s="2"/>
      <c r="J60" s="2"/>
      <c r="K60" s="2">
        <v>0</v>
      </c>
      <c r="L60" s="2">
        <v>0</v>
      </c>
    </row>
    <row r="61" spans="1:12" x14ac:dyDescent="0.3">
      <c r="A61" s="1" t="s">
        <v>217</v>
      </c>
      <c r="B61" s="1">
        <f t="shared" si="0"/>
        <v>60</v>
      </c>
      <c r="C61" s="2">
        <v>846</v>
      </c>
      <c r="D61" s="2">
        <v>324</v>
      </c>
      <c r="E61" s="2">
        <v>90</v>
      </c>
      <c r="F61" s="2">
        <v>84</v>
      </c>
      <c r="G61" s="2"/>
      <c r="H61" s="2" t="s">
        <v>217</v>
      </c>
      <c r="I61" s="2"/>
      <c r="J61" s="2"/>
      <c r="K61" s="2">
        <v>0</v>
      </c>
      <c r="L61" s="2">
        <v>0</v>
      </c>
    </row>
    <row r="62" spans="1:12" x14ac:dyDescent="0.3">
      <c r="A62" s="1" t="s">
        <v>218</v>
      </c>
      <c r="B62" s="1">
        <f t="shared" si="0"/>
        <v>61</v>
      </c>
      <c r="C62" s="2">
        <v>1072</v>
      </c>
      <c r="D62" s="2">
        <v>48</v>
      </c>
      <c r="E62" s="2">
        <v>72</v>
      </c>
      <c r="F62" s="2">
        <v>69</v>
      </c>
      <c r="G62" s="2"/>
      <c r="H62" s="2" t="s">
        <v>218</v>
      </c>
      <c r="I62" s="2"/>
      <c r="J62" s="2"/>
      <c r="K62" s="2">
        <v>0</v>
      </c>
      <c r="L62" s="2">
        <v>0</v>
      </c>
    </row>
    <row r="63" spans="1:12" x14ac:dyDescent="0.3">
      <c r="A63" s="1" t="s">
        <v>219</v>
      </c>
      <c r="B63" s="1">
        <f t="shared" si="0"/>
        <v>62</v>
      </c>
      <c r="C63" s="2">
        <v>1072</v>
      </c>
      <c r="D63" s="2">
        <v>117</v>
      </c>
      <c r="E63" s="2">
        <v>72</v>
      </c>
      <c r="F63" s="2">
        <v>69</v>
      </c>
      <c r="G63" s="2"/>
      <c r="H63" s="2" t="s">
        <v>219</v>
      </c>
      <c r="I63" s="2"/>
      <c r="J63" s="2"/>
      <c r="K63" s="2">
        <v>0</v>
      </c>
      <c r="L63" s="2">
        <v>0</v>
      </c>
    </row>
    <row r="64" spans="1:12" x14ac:dyDescent="0.3">
      <c r="A64" s="1" t="s">
        <v>123</v>
      </c>
      <c r="B64" s="1">
        <f t="shared" si="0"/>
        <v>63</v>
      </c>
      <c r="C64" s="2">
        <v>1072</v>
      </c>
      <c r="D64" s="2">
        <v>339</v>
      </c>
      <c r="E64" s="2">
        <v>72</v>
      </c>
      <c r="F64" s="2">
        <v>69</v>
      </c>
      <c r="G64" s="2"/>
      <c r="H64" s="2" t="s">
        <v>123</v>
      </c>
      <c r="I64" s="2"/>
      <c r="J64" s="2"/>
      <c r="K64" s="2">
        <v>0</v>
      </c>
      <c r="L64" s="2">
        <v>0</v>
      </c>
    </row>
    <row r="65" spans="1:12" x14ac:dyDescent="0.3">
      <c r="A65" s="1" t="s">
        <v>124</v>
      </c>
      <c r="B65" s="1">
        <f t="shared" si="0"/>
        <v>64</v>
      </c>
      <c r="C65" s="2">
        <v>1144</v>
      </c>
      <c r="D65" s="2">
        <v>48</v>
      </c>
      <c r="E65" s="2">
        <v>72</v>
      </c>
      <c r="F65" s="2">
        <v>69</v>
      </c>
      <c r="G65" s="2"/>
      <c r="H65" s="2" t="s">
        <v>124</v>
      </c>
      <c r="I65" s="2"/>
      <c r="J65" s="2"/>
      <c r="K65" s="2">
        <v>0</v>
      </c>
      <c r="L65" s="2">
        <v>0</v>
      </c>
    </row>
    <row r="66" spans="1:12" x14ac:dyDescent="0.3">
      <c r="A66" s="1" t="s">
        <v>125</v>
      </c>
      <c r="B66" s="1">
        <f t="shared" ref="B66:B119" si="1">ROW(B66)-1</f>
        <v>65</v>
      </c>
      <c r="C66" s="2">
        <v>1144</v>
      </c>
      <c r="D66" s="2">
        <v>117</v>
      </c>
      <c r="E66" s="2">
        <v>72</v>
      </c>
      <c r="F66" s="2">
        <v>69</v>
      </c>
      <c r="G66" s="2"/>
      <c r="H66" s="2" t="s">
        <v>125</v>
      </c>
      <c r="I66" s="2"/>
      <c r="J66" s="2"/>
      <c r="K66" s="2">
        <v>0</v>
      </c>
      <c r="L66" s="2">
        <v>0</v>
      </c>
    </row>
    <row r="67" spans="1:12" x14ac:dyDescent="0.3">
      <c r="A67" s="1" t="s">
        <v>126</v>
      </c>
      <c r="B67" s="1">
        <f t="shared" si="1"/>
        <v>66</v>
      </c>
      <c r="C67" s="2">
        <v>1144</v>
      </c>
      <c r="D67" s="2">
        <v>270</v>
      </c>
      <c r="E67" s="2">
        <v>72</v>
      </c>
      <c r="F67" s="2">
        <v>69</v>
      </c>
      <c r="G67" s="2"/>
      <c r="H67" s="2" t="s">
        <v>126</v>
      </c>
      <c r="I67" s="2"/>
      <c r="J67" s="2"/>
      <c r="K67" s="2">
        <v>0</v>
      </c>
      <c r="L67" s="2">
        <v>0</v>
      </c>
    </row>
    <row r="68" spans="1:12" x14ac:dyDescent="0.3">
      <c r="A68" s="1" t="s">
        <v>127</v>
      </c>
      <c r="B68" s="1">
        <f t="shared" si="1"/>
        <v>67</v>
      </c>
      <c r="C68" s="2">
        <v>1144</v>
      </c>
      <c r="D68" s="2">
        <v>339</v>
      </c>
      <c r="E68" s="2">
        <v>72</v>
      </c>
      <c r="F68" s="2">
        <v>69</v>
      </c>
      <c r="G68" s="2"/>
      <c r="H68" s="2" t="s">
        <v>127</v>
      </c>
      <c r="I68" s="2"/>
      <c r="J68" s="2"/>
      <c r="K68" s="2">
        <v>0</v>
      </c>
      <c r="L68" s="2">
        <v>0</v>
      </c>
    </row>
    <row r="69" spans="1:12" x14ac:dyDescent="0.3">
      <c r="A69" s="1" t="s">
        <v>128</v>
      </c>
      <c r="B69" s="1">
        <f t="shared" si="1"/>
        <v>68</v>
      </c>
      <c r="C69" s="2">
        <v>1216</v>
      </c>
      <c r="D69" s="2">
        <v>48</v>
      </c>
      <c r="E69" s="2">
        <v>72</v>
      </c>
      <c r="F69" s="2">
        <v>69</v>
      </c>
      <c r="G69" s="2"/>
      <c r="H69" s="2" t="s">
        <v>128</v>
      </c>
      <c r="I69" s="2"/>
      <c r="J69" s="2"/>
      <c r="K69" s="2">
        <v>0</v>
      </c>
      <c r="L69" s="2">
        <v>0</v>
      </c>
    </row>
    <row r="70" spans="1:12" x14ac:dyDescent="0.3">
      <c r="A70" s="1" t="s">
        <v>129</v>
      </c>
      <c r="B70" s="1">
        <f t="shared" si="1"/>
        <v>69</v>
      </c>
      <c r="C70" s="2">
        <v>1216</v>
      </c>
      <c r="D70" s="2">
        <v>117</v>
      </c>
      <c r="E70" s="2">
        <v>72</v>
      </c>
      <c r="F70" s="2">
        <v>69</v>
      </c>
      <c r="G70" s="2"/>
      <c r="H70" s="2" t="s">
        <v>129</v>
      </c>
      <c r="I70" s="2"/>
      <c r="J70" s="2"/>
      <c r="K70" s="2">
        <v>0</v>
      </c>
      <c r="L70" s="2">
        <v>0</v>
      </c>
    </row>
    <row r="71" spans="1:12" x14ac:dyDescent="0.3">
      <c r="A71" s="1" t="s">
        <v>130</v>
      </c>
      <c r="B71" s="1">
        <f t="shared" si="1"/>
        <v>70</v>
      </c>
      <c r="C71" s="2">
        <v>1216</v>
      </c>
      <c r="D71" s="2">
        <v>339</v>
      </c>
      <c r="E71" s="2">
        <v>72</v>
      </c>
      <c r="F71" s="2">
        <v>69</v>
      </c>
      <c r="G71" s="2"/>
      <c r="H71" s="2" t="s">
        <v>130</v>
      </c>
      <c r="I71" s="2"/>
      <c r="J71" s="2"/>
      <c r="K71" s="2">
        <v>0</v>
      </c>
      <c r="L71" s="2">
        <v>0</v>
      </c>
    </row>
    <row r="72" spans="1:12" x14ac:dyDescent="0.3">
      <c r="A72" s="1" t="s">
        <v>245</v>
      </c>
      <c r="B72" s="1">
        <f t="shared" si="1"/>
        <v>71</v>
      </c>
      <c r="C72" s="2">
        <v>1316</v>
      </c>
      <c r="D72" s="2">
        <v>48</v>
      </c>
      <c r="E72" s="2">
        <v>72</v>
      </c>
      <c r="F72" s="2">
        <v>69</v>
      </c>
      <c r="G72" s="2"/>
      <c r="H72" s="2" t="s">
        <v>245</v>
      </c>
      <c r="I72" s="2"/>
      <c r="J72" s="2"/>
      <c r="K72" s="2">
        <v>0</v>
      </c>
      <c r="L72" s="2">
        <v>1</v>
      </c>
    </row>
    <row r="73" spans="1:12" x14ac:dyDescent="0.3">
      <c r="A73" s="1" t="s">
        <v>124</v>
      </c>
      <c r="B73" s="1">
        <f t="shared" si="1"/>
        <v>72</v>
      </c>
      <c r="C73" s="2">
        <v>1316</v>
      </c>
      <c r="D73" s="2">
        <v>117</v>
      </c>
      <c r="E73" s="2">
        <v>72</v>
      </c>
      <c r="F73" s="2">
        <v>69</v>
      </c>
      <c r="G73" s="2">
        <v>7</v>
      </c>
      <c r="H73" s="2" t="s">
        <v>124</v>
      </c>
      <c r="I73" s="2"/>
      <c r="J73" s="2"/>
      <c r="K73" s="2">
        <v>0</v>
      </c>
      <c r="L73" s="2">
        <v>1</v>
      </c>
    </row>
    <row r="74" spans="1:12" x14ac:dyDescent="0.3">
      <c r="A74" s="1" t="s">
        <v>123</v>
      </c>
      <c r="B74" s="1">
        <f t="shared" si="1"/>
        <v>73</v>
      </c>
      <c r="C74" s="2">
        <v>1316</v>
      </c>
      <c r="D74" s="2">
        <v>186</v>
      </c>
      <c r="E74" s="2">
        <v>72</v>
      </c>
      <c r="F74" s="2">
        <v>69</v>
      </c>
      <c r="G74" s="2">
        <v>4</v>
      </c>
      <c r="H74" s="2" t="s">
        <v>123</v>
      </c>
      <c r="I74" s="2"/>
      <c r="J74" s="2"/>
      <c r="K74" s="2">
        <v>0</v>
      </c>
      <c r="L74" s="2">
        <v>1</v>
      </c>
    </row>
    <row r="75" spans="1:12" x14ac:dyDescent="0.3">
      <c r="A75" s="1" t="s">
        <v>125</v>
      </c>
      <c r="B75" s="1">
        <f t="shared" si="1"/>
        <v>74</v>
      </c>
      <c r="C75" s="2">
        <v>1316</v>
      </c>
      <c r="D75" s="2">
        <v>255</v>
      </c>
      <c r="E75" s="2">
        <v>72</v>
      </c>
      <c r="F75" s="2">
        <v>69</v>
      </c>
      <c r="G75" s="2">
        <v>1</v>
      </c>
      <c r="H75" s="2" t="s">
        <v>125</v>
      </c>
      <c r="I75" s="2"/>
      <c r="J75" s="2"/>
      <c r="K75" s="2">
        <v>0</v>
      </c>
      <c r="L75" s="2">
        <v>1</v>
      </c>
    </row>
    <row r="76" spans="1:12" x14ac:dyDescent="0.3">
      <c r="A76" s="1" t="s">
        <v>132</v>
      </c>
      <c r="B76" s="1">
        <f t="shared" si="1"/>
        <v>75</v>
      </c>
      <c r="C76" s="2">
        <v>1460</v>
      </c>
      <c r="D76" s="2">
        <v>48</v>
      </c>
      <c r="E76" s="2">
        <v>72</v>
      </c>
      <c r="F76" s="2">
        <v>69</v>
      </c>
      <c r="G76" s="2"/>
      <c r="H76" s="2" t="s">
        <v>132</v>
      </c>
      <c r="I76" s="2"/>
      <c r="J76" s="2"/>
      <c r="K76" s="2">
        <v>0</v>
      </c>
      <c r="L76" s="2">
        <v>1</v>
      </c>
    </row>
    <row r="77" spans="1:12" x14ac:dyDescent="0.3">
      <c r="A77" s="1" t="s">
        <v>126</v>
      </c>
      <c r="B77" s="1">
        <f t="shared" si="1"/>
        <v>76</v>
      </c>
      <c r="C77" s="2">
        <v>1388</v>
      </c>
      <c r="D77" s="2">
        <v>117</v>
      </c>
      <c r="E77" s="2">
        <v>72</v>
      </c>
      <c r="F77" s="2">
        <v>69</v>
      </c>
      <c r="G77" s="2">
        <v>8</v>
      </c>
      <c r="H77" s="2" t="s">
        <v>126</v>
      </c>
      <c r="I77" s="2"/>
      <c r="J77" s="2"/>
      <c r="K77" s="2">
        <v>0</v>
      </c>
      <c r="L77" s="2">
        <v>1</v>
      </c>
    </row>
    <row r="78" spans="1:12" x14ac:dyDescent="0.3">
      <c r="A78" s="1"/>
      <c r="B78" s="1">
        <f t="shared" si="1"/>
        <v>77</v>
      </c>
      <c r="C78" s="2">
        <v>1388</v>
      </c>
      <c r="D78" s="2">
        <v>186</v>
      </c>
      <c r="E78" s="2">
        <v>72</v>
      </c>
      <c r="F78" s="2">
        <v>69</v>
      </c>
      <c r="G78" s="2">
        <v>5</v>
      </c>
      <c r="H78" s="2"/>
      <c r="I78" s="2"/>
      <c r="J78" s="2"/>
      <c r="K78" s="2">
        <v>0</v>
      </c>
      <c r="L78" s="2">
        <v>1</v>
      </c>
    </row>
    <row r="79" spans="1:12" x14ac:dyDescent="0.3">
      <c r="A79" s="1" t="s">
        <v>127</v>
      </c>
      <c r="B79" s="1">
        <f t="shared" si="1"/>
        <v>78</v>
      </c>
      <c r="C79" s="2">
        <v>1388</v>
      </c>
      <c r="D79" s="2">
        <v>255</v>
      </c>
      <c r="E79" s="2">
        <v>72</v>
      </c>
      <c r="F79" s="2">
        <v>69</v>
      </c>
      <c r="G79" s="2">
        <v>2</v>
      </c>
      <c r="H79" s="2" t="s">
        <v>127</v>
      </c>
      <c r="I79" s="2"/>
      <c r="J79" s="2"/>
      <c r="K79" s="2">
        <v>0</v>
      </c>
      <c r="L79" s="2">
        <v>1</v>
      </c>
    </row>
    <row r="80" spans="1:12" x14ac:dyDescent="0.3">
      <c r="A80" s="1" t="s">
        <v>121</v>
      </c>
      <c r="B80" s="1">
        <f t="shared" si="1"/>
        <v>79</v>
      </c>
      <c r="C80" s="2">
        <v>1316</v>
      </c>
      <c r="D80" s="2">
        <v>324</v>
      </c>
      <c r="E80" s="2">
        <v>144</v>
      </c>
      <c r="F80" s="2">
        <v>84</v>
      </c>
      <c r="G80" s="2">
        <v>0</v>
      </c>
      <c r="H80" s="2" t="s">
        <v>121</v>
      </c>
      <c r="I80" s="2"/>
      <c r="J80" s="2"/>
      <c r="K80" s="2">
        <v>0</v>
      </c>
      <c r="L80" s="2">
        <v>1</v>
      </c>
    </row>
    <row r="81" spans="1:12" x14ac:dyDescent="0.3">
      <c r="A81" s="1" t="s">
        <v>133</v>
      </c>
      <c r="B81" s="1">
        <f t="shared" si="1"/>
        <v>80</v>
      </c>
      <c r="C81" s="2">
        <v>1532</v>
      </c>
      <c r="D81" s="2">
        <v>48</v>
      </c>
      <c r="E81" s="2">
        <v>72</v>
      </c>
      <c r="F81" s="2">
        <v>69</v>
      </c>
      <c r="G81" s="2"/>
      <c r="H81" s="2" t="s">
        <v>133</v>
      </c>
      <c r="I81" s="2"/>
      <c r="J81" s="2"/>
      <c r="K81" s="2">
        <v>0</v>
      </c>
      <c r="L81" s="2">
        <v>1</v>
      </c>
    </row>
    <row r="82" spans="1:12" x14ac:dyDescent="0.3">
      <c r="A82" s="1" t="s">
        <v>128</v>
      </c>
      <c r="B82" s="1">
        <f t="shared" si="1"/>
        <v>81</v>
      </c>
      <c r="C82" s="2">
        <v>1460</v>
      </c>
      <c r="D82" s="2">
        <v>117</v>
      </c>
      <c r="E82" s="2">
        <v>72</v>
      </c>
      <c r="F82" s="2">
        <v>69</v>
      </c>
      <c r="G82" s="2">
        <v>9</v>
      </c>
      <c r="H82" s="2" t="s">
        <v>128</v>
      </c>
      <c r="I82" s="2"/>
      <c r="J82" s="2"/>
      <c r="K82" s="2">
        <v>0</v>
      </c>
      <c r="L82" s="2">
        <v>1</v>
      </c>
    </row>
    <row r="83" spans="1:12" x14ac:dyDescent="0.3">
      <c r="A83" s="1" t="s">
        <v>130</v>
      </c>
      <c r="B83" s="1">
        <f t="shared" si="1"/>
        <v>82</v>
      </c>
      <c r="C83" s="2">
        <v>1460</v>
      </c>
      <c r="D83" s="2">
        <v>186</v>
      </c>
      <c r="E83" s="2">
        <v>72</v>
      </c>
      <c r="F83" s="2">
        <v>69</v>
      </c>
      <c r="G83" s="2">
        <v>6</v>
      </c>
      <c r="H83" s="2" t="s">
        <v>130</v>
      </c>
      <c r="I83" s="2"/>
      <c r="J83" s="2"/>
      <c r="K83" s="2">
        <v>0</v>
      </c>
      <c r="L83" s="2">
        <v>1</v>
      </c>
    </row>
    <row r="84" spans="1:12" x14ac:dyDescent="0.3">
      <c r="A84" s="1" t="s">
        <v>129</v>
      </c>
      <c r="B84" s="1">
        <f t="shared" si="1"/>
        <v>83</v>
      </c>
      <c r="C84" s="2">
        <v>1460</v>
      </c>
      <c r="D84" s="2">
        <v>255</v>
      </c>
      <c r="E84" s="2">
        <v>72</v>
      </c>
      <c r="F84" s="2">
        <v>69</v>
      </c>
      <c r="G84" s="2">
        <v>3</v>
      </c>
      <c r="H84" s="2" t="s">
        <v>129</v>
      </c>
      <c r="I84" s="2"/>
      <c r="J84" s="2"/>
      <c r="K84" s="2">
        <v>0</v>
      </c>
      <c r="L84" s="2">
        <v>1</v>
      </c>
    </row>
    <row r="85" spans="1:12" x14ac:dyDescent="0.3">
      <c r="A85" s="1" t="s">
        <v>122</v>
      </c>
      <c r="B85" s="1">
        <f t="shared" si="1"/>
        <v>84</v>
      </c>
      <c r="C85" s="2">
        <v>1460</v>
      </c>
      <c r="D85" s="2">
        <v>324</v>
      </c>
      <c r="E85" s="2">
        <v>72</v>
      </c>
      <c r="F85" s="2">
        <v>84</v>
      </c>
      <c r="G85" s="2" t="s">
        <v>110</v>
      </c>
      <c r="H85" s="2" t="s">
        <v>122</v>
      </c>
      <c r="I85" s="2"/>
      <c r="J85" s="2"/>
      <c r="K85" s="2">
        <v>0</v>
      </c>
      <c r="L85" s="2">
        <v>1</v>
      </c>
    </row>
    <row r="86" spans="1:12" x14ac:dyDescent="0.3">
      <c r="A86" s="1" t="s">
        <v>114</v>
      </c>
      <c r="B86" s="1">
        <f t="shared" si="1"/>
        <v>85</v>
      </c>
      <c r="C86" s="2">
        <v>1532</v>
      </c>
      <c r="D86" s="2">
        <v>117</v>
      </c>
      <c r="E86" s="2">
        <v>72</v>
      </c>
      <c r="F86" s="2">
        <v>69</v>
      </c>
      <c r="G86" s="2"/>
      <c r="H86" s="2" t="s">
        <v>114</v>
      </c>
      <c r="I86" s="2"/>
      <c r="J86" s="2"/>
      <c r="K86" s="2">
        <v>0</v>
      </c>
      <c r="L86" s="2">
        <v>1</v>
      </c>
    </row>
    <row r="87" spans="1:12" x14ac:dyDescent="0.3">
      <c r="A87" s="1" t="s">
        <v>63</v>
      </c>
      <c r="B87" s="1">
        <f t="shared" si="1"/>
        <v>86</v>
      </c>
      <c r="C87" s="2">
        <v>1532</v>
      </c>
      <c r="D87" s="2">
        <v>186</v>
      </c>
      <c r="E87" s="2">
        <v>72</v>
      </c>
      <c r="F87" s="2">
        <v>69</v>
      </c>
      <c r="G87" s="2"/>
      <c r="H87" s="2" t="s">
        <v>63</v>
      </c>
      <c r="I87" s="2"/>
      <c r="J87" s="2"/>
      <c r="K87" s="2">
        <v>0</v>
      </c>
      <c r="L87" s="2">
        <v>1</v>
      </c>
    </row>
    <row r="88" spans="1:12" x14ac:dyDescent="0.3">
      <c r="A88" s="1" t="s">
        <v>192</v>
      </c>
      <c r="B88" s="1">
        <f t="shared" si="1"/>
        <v>87</v>
      </c>
      <c r="C88" s="2">
        <v>1532</v>
      </c>
      <c r="D88" s="2">
        <v>255</v>
      </c>
      <c r="E88" s="2">
        <v>72</v>
      </c>
      <c r="F88" s="2">
        <v>153</v>
      </c>
      <c r="G88" s="2"/>
      <c r="H88" s="2" t="s">
        <v>192</v>
      </c>
      <c r="I88" s="2"/>
      <c r="J88" s="2"/>
      <c r="K88" s="2">
        <v>0</v>
      </c>
      <c r="L88" s="2">
        <v>1</v>
      </c>
    </row>
    <row r="89" spans="1:12" x14ac:dyDescent="0.3">
      <c r="A89" s="1" t="s">
        <v>134</v>
      </c>
      <c r="B89" s="1">
        <f t="shared" si="1"/>
        <v>88</v>
      </c>
      <c r="C89" s="2">
        <v>0</v>
      </c>
      <c r="D89" s="2">
        <v>0</v>
      </c>
      <c r="E89" s="2">
        <v>75</v>
      </c>
      <c r="F89" s="2">
        <v>48</v>
      </c>
      <c r="G89" s="2"/>
      <c r="H89" s="2" t="s">
        <v>134</v>
      </c>
      <c r="I89" s="2"/>
      <c r="J89" s="2"/>
      <c r="K89" s="2">
        <v>0</v>
      </c>
      <c r="L89" s="2">
        <v>0</v>
      </c>
    </row>
    <row r="90" spans="1:12" x14ac:dyDescent="0.3">
      <c r="A90" s="1" t="s">
        <v>135</v>
      </c>
      <c r="B90" s="1">
        <f t="shared" si="1"/>
        <v>89</v>
      </c>
      <c r="C90" s="2">
        <v>75</v>
      </c>
      <c r="D90" s="2">
        <v>0</v>
      </c>
      <c r="E90" s="2">
        <v>75</v>
      </c>
      <c r="F90" s="2">
        <v>48</v>
      </c>
      <c r="G90" s="2" t="s">
        <v>224</v>
      </c>
      <c r="H90" s="2" t="s">
        <v>135</v>
      </c>
      <c r="I90" s="2"/>
      <c r="J90" s="2"/>
      <c r="K90" s="2">
        <v>0</v>
      </c>
      <c r="L90" s="2">
        <v>0</v>
      </c>
    </row>
    <row r="91" spans="1:12" x14ac:dyDescent="0.3">
      <c r="A91" s="1" t="s">
        <v>136</v>
      </c>
      <c r="B91" s="1">
        <f t="shared" si="1"/>
        <v>90</v>
      </c>
      <c r="C91" s="2">
        <v>149</v>
      </c>
      <c r="D91" s="2">
        <v>0</v>
      </c>
      <c r="E91" s="2">
        <v>75</v>
      </c>
      <c r="F91" s="2">
        <v>48</v>
      </c>
      <c r="G91" s="2" t="s">
        <v>225</v>
      </c>
      <c r="H91" s="2" t="s">
        <v>136</v>
      </c>
      <c r="I91" s="2"/>
      <c r="J91" s="2"/>
      <c r="K91" s="2">
        <v>0</v>
      </c>
      <c r="L91" s="2">
        <v>0</v>
      </c>
    </row>
    <row r="92" spans="1:12" x14ac:dyDescent="0.3">
      <c r="A92" s="1" t="s">
        <v>137</v>
      </c>
      <c r="B92" s="1">
        <f t="shared" si="1"/>
        <v>91</v>
      </c>
      <c r="C92" s="2">
        <v>224</v>
      </c>
      <c r="D92" s="2">
        <v>0</v>
      </c>
      <c r="E92" s="2">
        <v>75</v>
      </c>
      <c r="F92" s="2">
        <v>48</v>
      </c>
      <c r="G92" s="2" t="s">
        <v>226</v>
      </c>
      <c r="H92" s="2" t="s">
        <v>137</v>
      </c>
      <c r="I92" s="2"/>
      <c r="J92" s="2"/>
      <c r="K92" s="2">
        <v>0</v>
      </c>
      <c r="L92" s="2">
        <v>0</v>
      </c>
    </row>
    <row r="93" spans="1:12" x14ac:dyDescent="0.3">
      <c r="A93" s="1" t="s">
        <v>138</v>
      </c>
      <c r="B93" s="1">
        <f t="shared" si="1"/>
        <v>92</v>
      </c>
      <c r="C93" s="2">
        <v>298</v>
      </c>
      <c r="D93" s="2">
        <v>0</v>
      </c>
      <c r="E93" s="2">
        <v>75</v>
      </c>
      <c r="F93" s="2">
        <v>48</v>
      </c>
      <c r="G93" s="2" t="s">
        <v>227</v>
      </c>
      <c r="H93" s="2" t="s">
        <v>138</v>
      </c>
      <c r="I93" s="2"/>
      <c r="J93" s="2"/>
      <c r="K93" s="2">
        <v>0</v>
      </c>
      <c r="L93" s="2">
        <v>0</v>
      </c>
    </row>
    <row r="94" spans="1:12" x14ac:dyDescent="0.3">
      <c r="A94" s="1" t="s">
        <v>139</v>
      </c>
      <c r="B94" s="1">
        <f t="shared" si="1"/>
        <v>93</v>
      </c>
      <c r="C94" s="2">
        <v>373</v>
      </c>
      <c r="D94" s="2">
        <v>0</v>
      </c>
      <c r="E94" s="2">
        <v>75</v>
      </c>
      <c r="F94" s="2">
        <v>48</v>
      </c>
      <c r="G94" s="2"/>
      <c r="H94" s="2" t="s">
        <v>139</v>
      </c>
      <c r="I94" s="2"/>
      <c r="J94" s="2"/>
      <c r="K94" s="2">
        <v>0</v>
      </c>
      <c r="L94" s="2">
        <v>0</v>
      </c>
    </row>
    <row r="95" spans="1:12" x14ac:dyDescent="0.3">
      <c r="A95" s="1" t="s">
        <v>140</v>
      </c>
      <c r="B95" s="1">
        <f t="shared" si="1"/>
        <v>94</v>
      </c>
      <c r="C95" s="2">
        <v>447</v>
      </c>
      <c r="D95" s="2">
        <v>0</v>
      </c>
      <c r="E95" s="2">
        <v>75</v>
      </c>
      <c r="F95" s="2">
        <v>48</v>
      </c>
      <c r="G95" s="2"/>
      <c r="H95" s="2" t="s">
        <v>140</v>
      </c>
      <c r="I95" s="2"/>
      <c r="J95" s="2"/>
      <c r="K95" s="2">
        <v>0</v>
      </c>
      <c r="L95" s="2">
        <v>0</v>
      </c>
    </row>
    <row r="96" spans="1:12" x14ac:dyDescent="0.3">
      <c r="A96" s="1" t="s">
        <v>141</v>
      </c>
      <c r="B96" s="1">
        <f t="shared" si="1"/>
        <v>95</v>
      </c>
      <c r="C96" s="2">
        <v>522</v>
      </c>
      <c r="D96" s="2">
        <v>0</v>
      </c>
      <c r="E96" s="2">
        <v>75</v>
      </c>
      <c r="F96" s="2">
        <v>48</v>
      </c>
      <c r="G96" s="2" t="s">
        <v>228</v>
      </c>
      <c r="H96" s="2" t="s">
        <v>141</v>
      </c>
      <c r="I96" s="2"/>
      <c r="J96" s="2"/>
      <c r="K96" s="2">
        <v>0</v>
      </c>
      <c r="L96" s="2">
        <v>0</v>
      </c>
    </row>
    <row r="97" spans="1:12" x14ac:dyDescent="0.3">
      <c r="A97" s="1" t="s">
        <v>142</v>
      </c>
      <c r="B97" s="1">
        <f t="shared" si="1"/>
        <v>96</v>
      </c>
      <c r="C97" s="2">
        <v>597</v>
      </c>
      <c r="D97" s="2">
        <v>0</v>
      </c>
      <c r="E97" s="2">
        <v>75</v>
      </c>
      <c r="F97" s="2">
        <v>48</v>
      </c>
      <c r="G97" s="2" t="s">
        <v>229</v>
      </c>
      <c r="H97" s="2" t="s">
        <v>142</v>
      </c>
      <c r="I97" s="2"/>
      <c r="J97" s="2"/>
      <c r="K97" s="2">
        <v>0</v>
      </c>
      <c r="L97" s="2">
        <v>0</v>
      </c>
    </row>
    <row r="98" spans="1:12" x14ac:dyDescent="0.3">
      <c r="A98" s="1" t="s">
        <v>143</v>
      </c>
      <c r="B98" s="1">
        <f t="shared" si="1"/>
        <v>97</v>
      </c>
      <c r="C98" s="2">
        <v>671</v>
      </c>
      <c r="D98" s="2">
        <v>0</v>
      </c>
      <c r="E98" s="2">
        <v>75</v>
      </c>
      <c r="F98" s="2">
        <v>48</v>
      </c>
      <c r="G98" s="2" t="s">
        <v>230</v>
      </c>
      <c r="H98" s="2" t="s">
        <v>143</v>
      </c>
      <c r="I98" s="2"/>
      <c r="J98" s="2"/>
      <c r="K98" s="2">
        <v>0</v>
      </c>
      <c r="L98" s="2">
        <v>0</v>
      </c>
    </row>
    <row r="99" spans="1:12" x14ac:dyDescent="0.3">
      <c r="A99" s="1" t="s">
        <v>144</v>
      </c>
      <c r="B99" s="1">
        <f t="shared" si="1"/>
        <v>98</v>
      </c>
      <c r="C99" s="2">
        <v>746</v>
      </c>
      <c r="D99" s="2">
        <v>0</v>
      </c>
      <c r="E99" s="2">
        <v>75</v>
      </c>
      <c r="F99" s="2">
        <v>48</v>
      </c>
      <c r="G99" s="2" t="s">
        <v>231</v>
      </c>
      <c r="H99" s="2" t="s">
        <v>144</v>
      </c>
      <c r="I99" s="2"/>
      <c r="J99" s="2"/>
      <c r="K99" s="2">
        <v>0</v>
      </c>
      <c r="L99" s="2">
        <v>0</v>
      </c>
    </row>
    <row r="100" spans="1:12" x14ac:dyDescent="0.3">
      <c r="A100" s="1" t="s">
        <v>145</v>
      </c>
      <c r="B100" s="1">
        <f t="shared" si="1"/>
        <v>99</v>
      </c>
      <c r="C100" s="2">
        <v>820</v>
      </c>
      <c r="D100" s="2">
        <v>0</v>
      </c>
      <c r="E100" s="2">
        <v>75</v>
      </c>
      <c r="F100" s="2">
        <v>48</v>
      </c>
      <c r="G100" s="2" t="s">
        <v>232</v>
      </c>
      <c r="H100" s="2" t="s">
        <v>145</v>
      </c>
      <c r="I100" s="2"/>
      <c r="J100" s="2"/>
      <c r="K100" s="2">
        <v>0</v>
      </c>
      <c r="L100" s="2">
        <v>0</v>
      </c>
    </row>
    <row r="101" spans="1:12" x14ac:dyDescent="0.3">
      <c r="A101" s="1" t="s">
        <v>146</v>
      </c>
      <c r="B101" s="1">
        <f t="shared" si="1"/>
        <v>100</v>
      </c>
      <c r="C101" s="2">
        <v>895</v>
      </c>
      <c r="D101" s="2">
        <v>0</v>
      </c>
      <c r="E101" s="2">
        <v>75</v>
      </c>
      <c r="F101" s="2">
        <v>48</v>
      </c>
      <c r="G101" s="2" t="s">
        <v>233</v>
      </c>
      <c r="H101" s="2" t="s">
        <v>146</v>
      </c>
      <c r="I101" s="2"/>
      <c r="J101" s="2"/>
      <c r="K101" s="2">
        <v>0</v>
      </c>
      <c r="L101" s="2">
        <v>0</v>
      </c>
    </row>
    <row r="102" spans="1:12" x14ac:dyDescent="0.3">
      <c r="A102" s="1" t="s">
        <v>246</v>
      </c>
      <c r="B102" s="1">
        <f t="shared" si="1"/>
        <v>101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3">
      <c r="A103" s="1" t="s">
        <v>246</v>
      </c>
      <c r="B103" s="1">
        <f t="shared" si="1"/>
        <v>102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 x14ac:dyDescent="0.3">
      <c r="A104" s="1" t="s">
        <v>246</v>
      </c>
      <c r="B104" s="1">
        <f t="shared" si="1"/>
        <v>103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 x14ac:dyDescent="0.3">
      <c r="A105" s="1" t="s">
        <v>234</v>
      </c>
      <c r="B105" s="1">
        <f t="shared" si="1"/>
        <v>104</v>
      </c>
      <c r="C105" s="2">
        <v>198</v>
      </c>
      <c r="D105" s="2">
        <v>324</v>
      </c>
      <c r="E105" s="2">
        <v>108</v>
      </c>
      <c r="F105" s="2">
        <v>84</v>
      </c>
      <c r="G105" s="2"/>
      <c r="H105" s="2" t="s">
        <v>234</v>
      </c>
      <c r="I105" s="2"/>
      <c r="J105" s="2"/>
      <c r="K105" s="2">
        <v>0</v>
      </c>
      <c r="L105" s="2">
        <v>0</v>
      </c>
    </row>
    <row r="106" spans="1:12" x14ac:dyDescent="0.3">
      <c r="A106" s="1" t="s">
        <v>235</v>
      </c>
      <c r="B106" s="1">
        <f t="shared" si="1"/>
        <v>105</v>
      </c>
      <c r="C106" s="2">
        <v>738</v>
      </c>
      <c r="D106" s="2">
        <v>324</v>
      </c>
      <c r="E106" s="2">
        <v>108</v>
      </c>
      <c r="F106" s="2">
        <v>84</v>
      </c>
      <c r="G106" s="2"/>
      <c r="H106" s="2" t="s">
        <v>235</v>
      </c>
      <c r="I106" s="2"/>
      <c r="J106" s="2"/>
      <c r="K106" s="2">
        <v>0</v>
      </c>
      <c r="L106" s="2">
        <v>0</v>
      </c>
    </row>
    <row r="107" spans="1:12" x14ac:dyDescent="0.3">
      <c r="A107" s="1" t="s">
        <v>246</v>
      </c>
      <c r="B107" s="1">
        <f t="shared" si="1"/>
        <v>106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 x14ac:dyDescent="0.3">
      <c r="A108" s="1" t="s">
        <v>236</v>
      </c>
      <c r="B108" s="1">
        <f t="shared" si="1"/>
        <v>107</v>
      </c>
      <c r="C108" s="2">
        <v>1072</v>
      </c>
      <c r="D108" s="2">
        <v>0</v>
      </c>
      <c r="E108" s="2">
        <v>72</v>
      </c>
      <c r="F108" s="2">
        <v>48</v>
      </c>
      <c r="G108" s="2"/>
      <c r="H108" s="2" t="s">
        <v>236</v>
      </c>
      <c r="I108" s="2"/>
      <c r="J108" s="2"/>
      <c r="K108" s="2">
        <v>0</v>
      </c>
      <c r="L108" s="2">
        <v>0</v>
      </c>
    </row>
    <row r="109" spans="1:12" x14ac:dyDescent="0.3">
      <c r="A109" s="1" t="s">
        <v>237</v>
      </c>
      <c r="B109" s="1">
        <f t="shared" si="1"/>
        <v>108</v>
      </c>
      <c r="C109" s="2">
        <v>1144</v>
      </c>
      <c r="D109" s="2">
        <v>0</v>
      </c>
      <c r="E109" s="2">
        <v>72</v>
      </c>
      <c r="F109" s="2">
        <v>48</v>
      </c>
      <c r="G109" s="2"/>
      <c r="H109" s="2" t="s">
        <v>237</v>
      </c>
      <c r="I109" s="2"/>
      <c r="J109" s="2"/>
      <c r="K109" s="2">
        <v>0</v>
      </c>
      <c r="L109" s="2">
        <v>0</v>
      </c>
    </row>
    <row r="110" spans="1:12" x14ac:dyDescent="0.3">
      <c r="A110" s="1" t="s">
        <v>238</v>
      </c>
      <c r="B110" s="1">
        <f t="shared" si="1"/>
        <v>109</v>
      </c>
      <c r="C110" s="2">
        <v>1216</v>
      </c>
      <c r="D110" s="2">
        <v>0</v>
      </c>
      <c r="E110" s="2">
        <v>72</v>
      </c>
      <c r="F110" s="2">
        <v>48</v>
      </c>
      <c r="G110" s="2"/>
      <c r="H110" s="2" t="s">
        <v>238</v>
      </c>
      <c r="I110" s="2"/>
      <c r="J110" s="2"/>
      <c r="K110" s="2">
        <v>0</v>
      </c>
      <c r="L110" s="2">
        <v>0</v>
      </c>
    </row>
    <row r="111" spans="1:12" x14ac:dyDescent="0.3">
      <c r="A111" s="1" t="s">
        <v>239</v>
      </c>
      <c r="B111" s="1">
        <f t="shared" si="1"/>
        <v>110</v>
      </c>
      <c r="C111" s="2">
        <v>1316</v>
      </c>
      <c r="D111" s="2">
        <v>0</v>
      </c>
      <c r="E111" s="2">
        <v>72</v>
      </c>
      <c r="F111" s="2">
        <v>48</v>
      </c>
      <c r="G111" s="2"/>
      <c r="H111" s="2" t="s">
        <v>239</v>
      </c>
      <c r="I111" s="2"/>
      <c r="J111" s="2"/>
      <c r="K111" s="2">
        <v>0</v>
      </c>
      <c r="L111" s="2">
        <v>1</v>
      </c>
    </row>
    <row r="112" spans="1:12" x14ac:dyDescent="0.3">
      <c r="A112" s="1" t="s">
        <v>240</v>
      </c>
      <c r="B112" s="1">
        <f t="shared" si="1"/>
        <v>111</v>
      </c>
      <c r="C112" s="2">
        <v>1388</v>
      </c>
      <c r="D112" s="2">
        <v>0</v>
      </c>
      <c r="E112" s="2">
        <v>72</v>
      </c>
      <c r="F112" s="2">
        <v>48</v>
      </c>
      <c r="G112" s="2"/>
      <c r="H112" s="2" t="s">
        <v>240</v>
      </c>
      <c r="I112" s="2"/>
      <c r="J112" s="2"/>
      <c r="K112" s="2">
        <v>0</v>
      </c>
      <c r="L112" s="2">
        <v>1</v>
      </c>
    </row>
    <row r="113" spans="1:12" x14ac:dyDescent="0.3">
      <c r="A113" s="1" t="s">
        <v>241</v>
      </c>
      <c r="B113" s="1">
        <f t="shared" si="1"/>
        <v>112</v>
      </c>
      <c r="C113" s="2">
        <v>1460</v>
      </c>
      <c r="D113" s="2">
        <v>0</v>
      </c>
      <c r="E113" s="2">
        <v>72</v>
      </c>
      <c r="F113" s="2">
        <v>48</v>
      </c>
      <c r="G113" s="2"/>
      <c r="H113" s="2" t="s">
        <v>241</v>
      </c>
      <c r="I113" s="2"/>
      <c r="J113" s="2"/>
      <c r="K113" s="2">
        <v>0</v>
      </c>
      <c r="L113" s="2">
        <v>1</v>
      </c>
    </row>
    <row r="114" spans="1:12" x14ac:dyDescent="0.3">
      <c r="A114" s="1" t="s">
        <v>242</v>
      </c>
      <c r="B114" s="1">
        <f t="shared" si="1"/>
        <v>113</v>
      </c>
      <c r="C114" s="2">
        <v>1532</v>
      </c>
      <c r="D114" s="2">
        <v>0</v>
      </c>
      <c r="E114" s="2">
        <v>72</v>
      </c>
      <c r="F114" s="2">
        <v>48</v>
      </c>
      <c r="G114" s="2"/>
      <c r="H114" s="2" t="s">
        <v>242</v>
      </c>
      <c r="I114" s="2"/>
      <c r="J114" s="2"/>
      <c r="K114" s="2">
        <v>0</v>
      </c>
      <c r="L114" s="2">
        <v>1</v>
      </c>
    </row>
    <row r="115" spans="1:12" x14ac:dyDescent="0.3">
      <c r="A115" s="1" t="s">
        <v>29</v>
      </c>
      <c r="B115" s="1">
        <f t="shared" si="1"/>
        <v>114</v>
      </c>
      <c r="C115" s="2">
        <v>1388</v>
      </c>
      <c r="D115" s="2">
        <v>48</v>
      </c>
      <c r="E115" s="2">
        <v>72</v>
      </c>
      <c r="F115" s="2">
        <v>69</v>
      </c>
      <c r="G115" s="2"/>
      <c r="H115" s="2" t="s">
        <v>29</v>
      </c>
      <c r="I115" s="2"/>
      <c r="J115" s="2"/>
      <c r="K115" s="2">
        <v>0</v>
      </c>
      <c r="L115" s="2">
        <v>0</v>
      </c>
    </row>
    <row r="116" spans="1:12" x14ac:dyDescent="0.3">
      <c r="A116" s="1" t="s">
        <v>246</v>
      </c>
      <c r="B116" s="1">
        <f t="shared" si="1"/>
        <v>115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 x14ac:dyDescent="0.3">
      <c r="A117" s="1" t="s">
        <v>246</v>
      </c>
      <c r="B117" s="1">
        <f t="shared" si="1"/>
        <v>116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 x14ac:dyDescent="0.3">
      <c r="A118" s="1" t="s">
        <v>246</v>
      </c>
      <c r="B118" s="1">
        <f t="shared" si="1"/>
        <v>117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 x14ac:dyDescent="0.3">
      <c r="A119" s="1" t="s">
        <v>243</v>
      </c>
      <c r="B119" s="1">
        <f t="shared" si="1"/>
        <v>118</v>
      </c>
      <c r="C119" s="2">
        <v>969</v>
      </c>
      <c r="D119" s="2">
        <v>0</v>
      </c>
      <c r="E119" s="2">
        <v>75</v>
      </c>
      <c r="F119" s="2">
        <v>48</v>
      </c>
      <c r="G119" s="2"/>
      <c r="H119" s="2" t="s">
        <v>243</v>
      </c>
      <c r="I119" s="2"/>
      <c r="J119" s="2"/>
      <c r="K119" s="2">
        <v>0</v>
      </c>
      <c r="L119" s="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F6259-1F36-484E-B07B-B08ECB6E4446}">
  <dimension ref="A1:P119"/>
  <sheetViews>
    <sheetView tabSelected="1" topLeftCell="A100" workbookViewId="0">
      <selection activeCell="P9" sqref="P9"/>
    </sheetView>
  </sheetViews>
  <sheetFormatPr defaultRowHeight="14.4" x14ac:dyDescent="0.3"/>
  <sheetData>
    <row r="1" spans="1:16" x14ac:dyDescent="0.3">
      <c r="A1" s="1" t="s">
        <v>153</v>
      </c>
      <c r="B1" s="1" t="s">
        <v>154</v>
      </c>
      <c r="C1" s="4" t="s">
        <v>0</v>
      </c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5" t="str">
        <f>"INSERT INTO positions ("&amp;aconcat($C1:$O1,",")&amp;") VALUES "</f>
        <v xml:space="preserve">INSERT INTO positions (position_id,layout_id,key_number,position_left,position_top,position_width,position_height,symbol_norm_cap,symbol_norm_low,symbol_altgr_cap,symbol_altgr_low,lowcap_optional,numpad) VALUES </v>
      </c>
    </row>
    <row r="2" spans="1:16" x14ac:dyDescent="0.3">
      <c r="A2" s="1" t="s">
        <v>14</v>
      </c>
      <c r="B2" s="1">
        <f t="shared" ref="B2:B65" si="0">ROW(B2)-1</f>
        <v>1</v>
      </c>
      <c r="C2" s="6" t="str">
        <f>IF(COUNTIF(Mac.DE110.Inp!$C2:$L2,"")=10,"","NULL")</f>
        <v>NULL</v>
      </c>
      <c r="D2" s="6" t="str">
        <f>IF(COUNTIF(Mac.DE110.Inp!$C2:$L2,"")=10,"","NULL")</f>
        <v>NULL</v>
      </c>
      <c r="E2" s="6">
        <f>IF(COUNTIF(Mac.DE110.Inp!$C2:$L2,"")=10,"",$B2)</f>
        <v>1</v>
      </c>
      <c r="F2" s="6">
        <f>IF(COUNTIF(Mac.DE110.Inp!$C2:$L2,"")=10,"",IF(Mac.DE110.Inp!$C2="","NULL",Mac.DE110.Inp!$C2))</f>
        <v>0</v>
      </c>
      <c r="G2" s="6">
        <f>IF(COUNTIF(Mac.DE110.Inp!$C2:$L2,"")=10,"",IF(Mac.DE110.Inp!$D2="","NULL",Mac.DE110.Inp!$D2))</f>
        <v>48</v>
      </c>
      <c r="H2" s="6">
        <f>IF(COUNTIF(Mac.DE110.Inp!$C2:$L2,"")=10,"",IF(Mac.DE110.Inp!$E2="","NULL",Mac.DE110.Inp!$E2))</f>
        <v>72</v>
      </c>
      <c r="I2" s="6">
        <f>IF(COUNTIF(Mac.DE110.Inp!$C2:$L2,"")=10,"",IF(Mac.DE110.Inp!$F2="","NULL",Mac.DE110.Inp!$F2))</f>
        <v>69</v>
      </c>
      <c r="J2" s="6" t="str">
        <f>IF(COUNTIF(Mac.DE110.Inp!$C2:$L2,"")=10,"",IF(Mac.DE110.Inp!$G2="","NULL",""""&amp;Mac.DE110.Inp!$G2&amp;""""))</f>
        <v>"°"</v>
      </c>
      <c r="K2" s="6" t="str">
        <f>IF(COUNTIF(Mac.DE110.Inp!$C2:$L2,"")=10,"",IF(Mac.DE110.Inp!$H2="","NULL",""""&amp;Mac.DE110.Inp!$H2&amp;""""))</f>
        <v>"^"</v>
      </c>
      <c r="L2" s="6" t="str">
        <f>IF(COUNTIF(Mac.DE110.Inp!$C2:$L2,"")=10,"",IF(Mac.DE110.Inp!$I2="","NULL",""""&amp;Mac.DE110.Inp!$I2&amp;""""))</f>
        <v>NULL</v>
      </c>
      <c r="M2" s="6" t="str">
        <f>IF(COUNTIF(Mac.DE110.Inp!$C2:$L2,"")=10,"",IF(Mac.DE110.Inp!$J2="","NULL",""""&amp;Mac.DE110.Inp!$J2&amp;""""))</f>
        <v>NULL</v>
      </c>
      <c r="N2" s="6">
        <f>IF(COUNTIF(Mac.DE110.Inp!$C2:$L2,"")=10,"",IF(Mac.DE110.Inp!$K2="","NULL",Mac.DE110.Inp!$K2))</f>
        <v>0</v>
      </c>
      <c r="O2" s="6">
        <f>IF(COUNTIF(Mac.DE110.Inp!$C2:$L2,"")=10,"",IF(Mac.DE110.Inp!$L2="","NULL",Mac.DE110.Inp!$L2))</f>
        <v>0</v>
      </c>
      <c r="P2" s="7" t="str">
        <f>IF(COUNTIF(Mac.DE110.Inp!$C2:$L2,"")=10,"","("&amp;aconcat($C2:$O2,",")&amp;"),")</f>
        <v>(NULL,NULL,1,0,48,72,69,"°","^",NULL,NULL,0,0),</v>
      </c>
    </row>
    <row r="3" spans="1:16" x14ac:dyDescent="0.3">
      <c r="A3" s="1">
        <v>1</v>
      </c>
      <c r="B3" s="1">
        <f t="shared" si="0"/>
        <v>2</v>
      </c>
      <c r="C3" s="6" t="str">
        <f>IF(COUNTIF(Mac.DE110.Inp!$C3:$L3,"")=10,"","NULL")</f>
        <v>NULL</v>
      </c>
      <c r="D3" s="6" t="str">
        <f>IF(COUNTIF(Mac.DE110.Inp!$C3:$L3,"")=10,"","NULL")</f>
        <v>NULL</v>
      </c>
      <c r="E3" s="6">
        <f>IF(COUNTIF(Mac.DE110.Inp!$C3:$L3,"")=10,"",$B3)</f>
        <v>2</v>
      </c>
      <c r="F3" s="6">
        <f>IF(COUNTIF(Mac.DE110.Inp!$C3:$L3,"")=10,"",IF(Mac.DE110.Inp!$C3="","NULL",Mac.DE110.Inp!$C3))</f>
        <v>72</v>
      </c>
      <c r="G3" s="6">
        <f>IF(COUNTIF(Mac.DE110.Inp!$C3:$L3,"")=10,"",IF(Mac.DE110.Inp!$D3="","NULL",Mac.DE110.Inp!$D3))</f>
        <v>48</v>
      </c>
      <c r="H3" s="6">
        <f>IF(COUNTIF(Mac.DE110.Inp!$C3:$L3,"")=10,"",IF(Mac.DE110.Inp!$E3="","NULL",Mac.DE110.Inp!$E3))</f>
        <v>72</v>
      </c>
      <c r="I3" s="6">
        <f>IF(COUNTIF(Mac.DE110.Inp!$C3:$L3,"")=10,"",IF(Mac.DE110.Inp!$F3="","NULL",Mac.DE110.Inp!$F3))</f>
        <v>69</v>
      </c>
      <c r="J3" s="6" t="str">
        <f>IF(COUNTIF(Mac.DE110.Inp!$C3:$L3,"")=10,"",IF(Mac.DE110.Inp!$G3="","NULL",""""&amp;Mac.DE110.Inp!$G3&amp;""""))</f>
        <v>"!"</v>
      </c>
      <c r="K3" s="6" t="str">
        <f>IF(COUNTIF(Mac.DE110.Inp!$C3:$L3,"")=10,"",IF(Mac.DE110.Inp!$H3="","NULL",""""&amp;Mac.DE110.Inp!$H3&amp;""""))</f>
        <v>"1"</v>
      </c>
      <c r="L3" s="6" t="str">
        <f>IF(COUNTIF(Mac.DE110.Inp!$C3:$L3,"")=10,"",IF(Mac.DE110.Inp!$I3="","NULL",""""&amp;Mac.DE110.Inp!$I3&amp;""""))</f>
        <v>NULL</v>
      </c>
      <c r="M3" s="6" t="str">
        <f>IF(COUNTIF(Mac.DE110.Inp!$C3:$L3,"")=10,"",IF(Mac.DE110.Inp!$J3="","NULL",""""&amp;Mac.DE110.Inp!$J3&amp;""""))</f>
        <v>NULL</v>
      </c>
      <c r="N3" s="6">
        <f>IF(COUNTIF(Mac.DE110.Inp!$C3:$L3,"")=10,"",IF(Mac.DE110.Inp!$K3="","NULL",Mac.DE110.Inp!$K3))</f>
        <v>0</v>
      </c>
      <c r="O3" s="6">
        <f>IF(COUNTIF(Mac.DE110.Inp!$C3:$L3,"")=10,"",IF(Mac.DE110.Inp!$L3="","NULL",Mac.DE110.Inp!$L3))</f>
        <v>0</v>
      </c>
      <c r="P3" s="7" t="str">
        <f>IF(COUNTIF(Mac.DE110.Inp!$C3:$L3,"")=10,"","("&amp;aconcat($C3:$O3,",")&amp;"),")</f>
        <v>(NULL,NULL,2,72,48,72,69,"!","1",NULL,NULL,0,0),</v>
      </c>
    </row>
    <row r="4" spans="1:16" x14ac:dyDescent="0.3">
      <c r="A4" s="1">
        <v>2</v>
      </c>
      <c r="B4" s="1">
        <f t="shared" si="0"/>
        <v>3</v>
      </c>
      <c r="C4" s="6" t="str">
        <f>IF(COUNTIF(Mac.DE110.Inp!$C4:$L4,"")=10,"","NULL")</f>
        <v>NULL</v>
      </c>
      <c r="D4" s="6" t="str">
        <f>IF(COUNTIF(Mac.DE110.Inp!$C4:$L4,"")=10,"","NULL")</f>
        <v>NULL</v>
      </c>
      <c r="E4" s="6">
        <f>IF(COUNTIF(Mac.DE110.Inp!$C4:$L4,"")=10,"",$B4)</f>
        <v>3</v>
      </c>
      <c r="F4" s="6">
        <f>IF(COUNTIF(Mac.DE110.Inp!$C4:$L4,"")=10,"",IF(Mac.DE110.Inp!$C4="","NULL",Mac.DE110.Inp!$C4))</f>
        <v>144</v>
      </c>
      <c r="G4" s="6">
        <f>IF(COUNTIF(Mac.DE110.Inp!$C4:$L4,"")=10,"",IF(Mac.DE110.Inp!$D4="","NULL",Mac.DE110.Inp!$D4))</f>
        <v>48</v>
      </c>
      <c r="H4" s="6">
        <f>IF(COUNTIF(Mac.DE110.Inp!$C4:$L4,"")=10,"",IF(Mac.DE110.Inp!$E4="","NULL",Mac.DE110.Inp!$E4))</f>
        <v>72</v>
      </c>
      <c r="I4" s="6">
        <f>IF(COUNTIF(Mac.DE110.Inp!$C4:$L4,"")=10,"",IF(Mac.DE110.Inp!$F4="","NULL",Mac.DE110.Inp!$F4))</f>
        <v>69</v>
      </c>
      <c r="J4" s="8" t="str">
        <f>IF(COUNTIF(Mac.DE110.Inp!$C4:$L4,"")=10,"",IF(Mac.DE110.Inp!$G4="","NULL",""""&amp;Mac.DE110.Inp!$G4&amp;""""))</f>
        <v>"\""</v>
      </c>
      <c r="K4" s="6" t="str">
        <f>IF(COUNTIF(Mac.DE110.Inp!$C4:$L4,"")=10,"",IF(Mac.DE110.Inp!$H4="","NULL",""""&amp;Mac.DE110.Inp!$H4&amp;""""))</f>
        <v>"2"</v>
      </c>
      <c r="L4" s="6" t="str">
        <f>IF(COUNTIF(Mac.DE110.Inp!$C4:$L4,"")=10,"",IF(Mac.DE110.Inp!$I4="","NULL",""""&amp;Mac.DE110.Inp!$I4&amp;""""))</f>
        <v>NULL</v>
      </c>
      <c r="M4" s="6" t="str">
        <f>IF(COUNTIF(Mac.DE110.Inp!$C4:$L4,"")=10,"",IF(Mac.DE110.Inp!$J4="","NULL",""""&amp;Mac.DE110.Inp!$J4&amp;""""))</f>
        <v>NULL</v>
      </c>
      <c r="N4" s="6">
        <f>IF(COUNTIF(Mac.DE110.Inp!$C4:$L4,"")=10,"",IF(Mac.DE110.Inp!$K4="","NULL",Mac.DE110.Inp!$K4))</f>
        <v>0</v>
      </c>
      <c r="O4" s="6">
        <f>IF(COUNTIF(Mac.DE110.Inp!$C4:$L4,"")=10,"",IF(Mac.DE110.Inp!$L4="","NULL",Mac.DE110.Inp!$L4))</f>
        <v>0</v>
      </c>
      <c r="P4" s="7" t="str">
        <f>IF(COUNTIF(Mac.DE110.Inp!$C4:$L4,"")=10,"","("&amp;aconcat($C4:$O4,",")&amp;"),")</f>
        <v>(NULL,NULL,3,144,48,72,69,"\"","2",NULL,NULL,0,0),</v>
      </c>
    </row>
    <row r="5" spans="1:16" x14ac:dyDescent="0.3">
      <c r="A5" s="1">
        <v>3</v>
      </c>
      <c r="B5" s="1">
        <f t="shared" si="0"/>
        <v>4</v>
      </c>
      <c r="C5" s="6" t="str">
        <f>IF(COUNTIF(Mac.DE110.Inp!$C5:$L5,"")=10,"","NULL")</f>
        <v>NULL</v>
      </c>
      <c r="D5" s="6" t="str">
        <f>IF(COUNTIF(Mac.DE110.Inp!$C5:$L5,"")=10,"","NULL")</f>
        <v>NULL</v>
      </c>
      <c r="E5" s="6">
        <f>IF(COUNTIF(Mac.DE110.Inp!$C5:$L5,"")=10,"",$B5)</f>
        <v>4</v>
      </c>
      <c r="F5" s="6">
        <f>IF(COUNTIF(Mac.DE110.Inp!$C5:$L5,"")=10,"",IF(Mac.DE110.Inp!$C5="","NULL",Mac.DE110.Inp!$C5))</f>
        <v>216</v>
      </c>
      <c r="G5" s="6">
        <f>IF(COUNTIF(Mac.DE110.Inp!$C5:$L5,"")=10,"",IF(Mac.DE110.Inp!$D5="","NULL",Mac.DE110.Inp!$D5))</f>
        <v>48</v>
      </c>
      <c r="H5" s="6">
        <f>IF(COUNTIF(Mac.DE110.Inp!$C5:$L5,"")=10,"",IF(Mac.DE110.Inp!$E5="","NULL",Mac.DE110.Inp!$E5))</f>
        <v>72</v>
      </c>
      <c r="I5" s="6">
        <f>IF(COUNTIF(Mac.DE110.Inp!$C5:$L5,"")=10,"",IF(Mac.DE110.Inp!$F5="","NULL",Mac.DE110.Inp!$F5))</f>
        <v>69</v>
      </c>
      <c r="J5" s="6" t="str">
        <f>IF(COUNTIF(Mac.DE110.Inp!$C5:$L5,"")=10,"",IF(Mac.DE110.Inp!$G5="","NULL",""""&amp;Mac.DE110.Inp!$G5&amp;""""))</f>
        <v>"§"</v>
      </c>
      <c r="K5" s="6" t="str">
        <f>IF(COUNTIF(Mac.DE110.Inp!$C5:$L5,"")=10,"",IF(Mac.DE110.Inp!$H5="","NULL",""""&amp;Mac.DE110.Inp!$H5&amp;""""))</f>
        <v>"3"</v>
      </c>
      <c r="L5" s="6" t="str">
        <f>IF(COUNTIF(Mac.DE110.Inp!$C5:$L5,"")=10,"",IF(Mac.DE110.Inp!$I5="","NULL",""""&amp;Mac.DE110.Inp!$I5&amp;""""))</f>
        <v>NULL</v>
      </c>
      <c r="M5" s="6" t="str">
        <f>IF(COUNTIF(Mac.DE110.Inp!$C5:$L5,"")=10,"",IF(Mac.DE110.Inp!$J5="","NULL",""""&amp;Mac.DE110.Inp!$J5&amp;""""))</f>
        <v>NULL</v>
      </c>
      <c r="N5" s="6">
        <f>IF(COUNTIF(Mac.DE110.Inp!$C5:$L5,"")=10,"",IF(Mac.DE110.Inp!$K5="","NULL",Mac.DE110.Inp!$K5))</f>
        <v>0</v>
      </c>
      <c r="O5" s="6">
        <f>IF(COUNTIF(Mac.DE110.Inp!$C5:$L5,"")=10,"",IF(Mac.DE110.Inp!$L5="","NULL",Mac.DE110.Inp!$L5))</f>
        <v>0</v>
      </c>
      <c r="P5" s="7" t="str">
        <f>IF(COUNTIF(Mac.DE110.Inp!$C5:$L5,"")=10,"","("&amp;aconcat($C5:$O5,",")&amp;"),")</f>
        <v>(NULL,NULL,4,216,48,72,69,"§","3",NULL,NULL,0,0),</v>
      </c>
    </row>
    <row r="6" spans="1:16" x14ac:dyDescent="0.3">
      <c r="A6" s="1">
        <v>4</v>
      </c>
      <c r="B6" s="1">
        <f t="shared" si="0"/>
        <v>5</v>
      </c>
      <c r="C6" s="6" t="str">
        <f>IF(COUNTIF(Mac.DE110.Inp!$C6:$L6,"")=10,"","NULL")</f>
        <v>NULL</v>
      </c>
      <c r="D6" s="6" t="str">
        <f>IF(COUNTIF(Mac.DE110.Inp!$C6:$L6,"")=10,"","NULL")</f>
        <v>NULL</v>
      </c>
      <c r="E6" s="6">
        <f>IF(COUNTIF(Mac.DE110.Inp!$C6:$L6,"")=10,"",$B6)</f>
        <v>5</v>
      </c>
      <c r="F6" s="6">
        <f>IF(COUNTIF(Mac.DE110.Inp!$C6:$L6,"")=10,"",IF(Mac.DE110.Inp!$C6="","NULL",Mac.DE110.Inp!$C6))</f>
        <v>288</v>
      </c>
      <c r="G6" s="6">
        <f>IF(COUNTIF(Mac.DE110.Inp!$C6:$L6,"")=10,"",IF(Mac.DE110.Inp!$D6="","NULL",Mac.DE110.Inp!$D6))</f>
        <v>48</v>
      </c>
      <c r="H6" s="6">
        <f>IF(COUNTIF(Mac.DE110.Inp!$C6:$L6,"")=10,"",IF(Mac.DE110.Inp!$E6="","NULL",Mac.DE110.Inp!$E6))</f>
        <v>72</v>
      </c>
      <c r="I6" s="6">
        <f>IF(COUNTIF(Mac.DE110.Inp!$C6:$L6,"")=10,"",IF(Mac.DE110.Inp!$F6="","NULL",Mac.DE110.Inp!$F6))</f>
        <v>69</v>
      </c>
      <c r="J6" s="6" t="str">
        <f>IF(COUNTIF(Mac.DE110.Inp!$C6:$L6,"")=10,"",IF(Mac.DE110.Inp!$G6="","NULL",""""&amp;Mac.DE110.Inp!$G6&amp;""""))</f>
        <v>"$"</v>
      </c>
      <c r="K6" s="6" t="str">
        <f>IF(COUNTIF(Mac.DE110.Inp!$C6:$L6,"")=10,"",IF(Mac.DE110.Inp!$H6="","NULL",""""&amp;Mac.DE110.Inp!$H6&amp;""""))</f>
        <v>"4"</v>
      </c>
      <c r="L6" s="6" t="str">
        <f>IF(COUNTIF(Mac.DE110.Inp!$C6:$L6,"")=10,"",IF(Mac.DE110.Inp!$I6="","NULL",""""&amp;Mac.DE110.Inp!$I6&amp;""""))</f>
        <v>NULL</v>
      </c>
      <c r="M6" s="6" t="str">
        <f>IF(COUNTIF(Mac.DE110.Inp!$C6:$L6,"")=10,"",IF(Mac.DE110.Inp!$J6="","NULL",""""&amp;Mac.DE110.Inp!$J6&amp;""""))</f>
        <v>NULL</v>
      </c>
      <c r="N6" s="6">
        <f>IF(COUNTIF(Mac.DE110.Inp!$C6:$L6,"")=10,"",IF(Mac.DE110.Inp!$K6="","NULL",Mac.DE110.Inp!$K6))</f>
        <v>0</v>
      </c>
      <c r="O6" s="6">
        <f>IF(COUNTIF(Mac.DE110.Inp!$C6:$L6,"")=10,"",IF(Mac.DE110.Inp!$L6="","NULL",Mac.DE110.Inp!$L6))</f>
        <v>0</v>
      </c>
      <c r="P6" s="7" t="str">
        <f>IF(COUNTIF(Mac.DE110.Inp!$C6:$L6,"")=10,"","("&amp;aconcat($C6:$O6,",")&amp;"),")</f>
        <v>(NULL,NULL,5,288,48,72,69,"$","4",NULL,NULL,0,0),</v>
      </c>
    </row>
    <row r="7" spans="1:16" x14ac:dyDescent="0.3">
      <c r="A7" s="1">
        <v>5</v>
      </c>
      <c r="B7" s="1">
        <f t="shared" si="0"/>
        <v>6</v>
      </c>
      <c r="C7" s="6" t="str">
        <f>IF(COUNTIF(Mac.DE110.Inp!$C7:$L7,"")=10,"","NULL")</f>
        <v>NULL</v>
      </c>
      <c r="D7" s="6" t="str">
        <f>IF(COUNTIF(Mac.DE110.Inp!$C7:$L7,"")=10,"","NULL")</f>
        <v>NULL</v>
      </c>
      <c r="E7" s="6">
        <f>IF(COUNTIF(Mac.DE110.Inp!$C7:$L7,"")=10,"",$B7)</f>
        <v>6</v>
      </c>
      <c r="F7" s="6">
        <f>IF(COUNTIF(Mac.DE110.Inp!$C7:$L7,"")=10,"",IF(Mac.DE110.Inp!$C7="","NULL",Mac.DE110.Inp!$C7))</f>
        <v>360</v>
      </c>
      <c r="G7" s="6">
        <f>IF(COUNTIF(Mac.DE110.Inp!$C7:$L7,"")=10,"",IF(Mac.DE110.Inp!$D7="","NULL",Mac.DE110.Inp!$D7))</f>
        <v>48</v>
      </c>
      <c r="H7" s="6">
        <f>IF(COUNTIF(Mac.DE110.Inp!$C7:$L7,"")=10,"",IF(Mac.DE110.Inp!$E7="","NULL",Mac.DE110.Inp!$E7))</f>
        <v>72</v>
      </c>
      <c r="I7" s="6">
        <f>IF(COUNTIF(Mac.DE110.Inp!$C7:$L7,"")=10,"",IF(Mac.DE110.Inp!$F7="","NULL",Mac.DE110.Inp!$F7))</f>
        <v>69</v>
      </c>
      <c r="J7" s="6" t="str">
        <f>IF(COUNTIF(Mac.DE110.Inp!$C7:$L7,"")=10,"",IF(Mac.DE110.Inp!$G7="","NULL",""""&amp;Mac.DE110.Inp!$G7&amp;""""))</f>
        <v>"%"</v>
      </c>
      <c r="K7" s="6" t="str">
        <f>IF(COUNTIF(Mac.DE110.Inp!$C7:$L7,"")=10,"",IF(Mac.DE110.Inp!$H7="","NULL",""""&amp;Mac.DE110.Inp!$H7&amp;""""))</f>
        <v>"5"</v>
      </c>
      <c r="L7" s="6" t="str">
        <f>IF(COUNTIF(Mac.DE110.Inp!$C7:$L7,"")=10,"",IF(Mac.DE110.Inp!$I7="","NULL",""""&amp;Mac.DE110.Inp!$I7&amp;""""))</f>
        <v>NULL</v>
      </c>
      <c r="M7" s="6" t="str">
        <f>IF(COUNTIF(Mac.DE110.Inp!$C7:$L7,"")=10,"",IF(Mac.DE110.Inp!$J7="","NULL",""""&amp;Mac.DE110.Inp!$J7&amp;""""))</f>
        <v>NULL</v>
      </c>
      <c r="N7" s="6">
        <f>IF(COUNTIF(Mac.DE110.Inp!$C7:$L7,"")=10,"",IF(Mac.DE110.Inp!$K7="","NULL",Mac.DE110.Inp!$K7))</f>
        <v>0</v>
      </c>
      <c r="O7" s="6">
        <f>IF(COUNTIF(Mac.DE110.Inp!$C7:$L7,"")=10,"",IF(Mac.DE110.Inp!$L7="","NULL",Mac.DE110.Inp!$L7))</f>
        <v>0</v>
      </c>
      <c r="P7" s="7" t="str">
        <f>IF(COUNTIF(Mac.DE110.Inp!$C7:$L7,"")=10,"","("&amp;aconcat($C7:$O7,",")&amp;"),")</f>
        <v>(NULL,NULL,6,360,48,72,69,"%","5",NULL,NULL,0,0),</v>
      </c>
    </row>
    <row r="8" spans="1:16" x14ac:dyDescent="0.3">
      <c r="A8" s="1">
        <v>6</v>
      </c>
      <c r="B8" s="1">
        <f t="shared" si="0"/>
        <v>7</v>
      </c>
      <c r="C8" s="6" t="str">
        <f>IF(COUNTIF(Mac.DE110.Inp!$C8:$L8,"")=10,"","NULL")</f>
        <v>NULL</v>
      </c>
      <c r="D8" s="6" t="str">
        <f>IF(COUNTIF(Mac.DE110.Inp!$C8:$L8,"")=10,"","NULL")</f>
        <v>NULL</v>
      </c>
      <c r="E8" s="6">
        <f>IF(COUNTIF(Mac.DE110.Inp!$C8:$L8,"")=10,"",$B8)</f>
        <v>7</v>
      </c>
      <c r="F8" s="6">
        <f>IF(COUNTIF(Mac.DE110.Inp!$C8:$L8,"")=10,"",IF(Mac.DE110.Inp!$C8="","NULL",Mac.DE110.Inp!$C8))</f>
        <v>432</v>
      </c>
      <c r="G8" s="6">
        <f>IF(COUNTIF(Mac.DE110.Inp!$C8:$L8,"")=10,"",IF(Mac.DE110.Inp!$D8="","NULL",Mac.DE110.Inp!$D8))</f>
        <v>48</v>
      </c>
      <c r="H8" s="6">
        <f>IF(COUNTIF(Mac.DE110.Inp!$C8:$L8,"")=10,"",IF(Mac.DE110.Inp!$E8="","NULL",Mac.DE110.Inp!$E8))</f>
        <v>72</v>
      </c>
      <c r="I8" s="6">
        <f>IF(COUNTIF(Mac.DE110.Inp!$C8:$L8,"")=10,"",IF(Mac.DE110.Inp!$F8="","NULL",Mac.DE110.Inp!$F8))</f>
        <v>69</v>
      </c>
      <c r="J8" s="6" t="str">
        <f>IF(COUNTIF(Mac.DE110.Inp!$C8:$L8,"")=10,"",IF(Mac.DE110.Inp!$G8="","NULL",""""&amp;Mac.DE110.Inp!$G8&amp;""""))</f>
        <v>"&amp;"</v>
      </c>
      <c r="K8" s="6" t="str">
        <f>IF(COUNTIF(Mac.DE110.Inp!$C8:$L8,"")=10,"",IF(Mac.DE110.Inp!$H8="","NULL",""""&amp;Mac.DE110.Inp!$H8&amp;""""))</f>
        <v>"6"</v>
      </c>
      <c r="L8" s="6" t="str">
        <f>IF(COUNTIF(Mac.DE110.Inp!$C8:$L8,"")=10,"",IF(Mac.DE110.Inp!$I8="","NULL",""""&amp;Mac.DE110.Inp!$I8&amp;""""))</f>
        <v>NULL</v>
      </c>
      <c r="M8" s="6" t="str">
        <f>IF(COUNTIF(Mac.DE110.Inp!$C8:$L8,"")=10,"",IF(Mac.DE110.Inp!$J8="","NULL",""""&amp;Mac.DE110.Inp!$J8&amp;""""))</f>
        <v>NULL</v>
      </c>
      <c r="N8" s="6">
        <f>IF(COUNTIF(Mac.DE110.Inp!$C8:$L8,"")=10,"",IF(Mac.DE110.Inp!$K8="","NULL",Mac.DE110.Inp!$K8))</f>
        <v>0</v>
      </c>
      <c r="O8" s="6">
        <f>IF(COUNTIF(Mac.DE110.Inp!$C8:$L8,"")=10,"",IF(Mac.DE110.Inp!$L8="","NULL",Mac.DE110.Inp!$L8))</f>
        <v>0</v>
      </c>
      <c r="P8" s="7" t="str">
        <f>IF(COUNTIF(Mac.DE110.Inp!$C8:$L8,"")=10,"","("&amp;aconcat($C8:$O8,",")&amp;"),")</f>
        <v>(NULL,NULL,7,432,48,72,69,"&amp;","6",NULL,NULL,0,0),</v>
      </c>
    </row>
    <row r="9" spans="1:16" x14ac:dyDescent="0.3">
      <c r="A9" s="1">
        <v>7</v>
      </c>
      <c r="B9" s="1">
        <f t="shared" si="0"/>
        <v>8</v>
      </c>
      <c r="C9" s="6" t="str">
        <f>IF(COUNTIF(Mac.DE110.Inp!$C9:$L9,"")=10,"","NULL")</f>
        <v>NULL</v>
      </c>
      <c r="D9" s="6" t="str">
        <f>IF(COUNTIF(Mac.DE110.Inp!$C9:$L9,"")=10,"","NULL")</f>
        <v>NULL</v>
      </c>
      <c r="E9" s="6">
        <f>IF(COUNTIF(Mac.DE110.Inp!$C9:$L9,"")=10,"",$B9)</f>
        <v>8</v>
      </c>
      <c r="F9" s="6">
        <f>IF(COUNTIF(Mac.DE110.Inp!$C9:$L9,"")=10,"",IF(Mac.DE110.Inp!$C9="","NULL",Mac.DE110.Inp!$C9))</f>
        <v>504</v>
      </c>
      <c r="G9" s="6">
        <f>IF(COUNTIF(Mac.DE110.Inp!$C9:$L9,"")=10,"",IF(Mac.DE110.Inp!$D9="","NULL",Mac.DE110.Inp!$D9))</f>
        <v>48</v>
      </c>
      <c r="H9" s="6">
        <f>IF(COUNTIF(Mac.DE110.Inp!$C9:$L9,"")=10,"",IF(Mac.DE110.Inp!$E9="","NULL",Mac.DE110.Inp!$E9))</f>
        <v>72</v>
      </c>
      <c r="I9" s="6">
        <f>IF(COUNTIF(Mac.DE110.Inp!$C9:$L9,"")=10,"",IF(Mac.DE110.Inp!$F9="","NULL",Mac.DE110.Inp!$F9))</f>
        <v>69</v>
      </c>
      <c r="J9" s="6" t="str">
        <f>IF(COUNTIF(Mac.DE110.Inp!$C9:$L9,"")=10,"",IF(Mac.DE110.Inp!$G9="","NULL",""""&amp;Mac.DE110.Inp!$G9&amp;""""))</f>
        <v>"/"</v>
      </c>
      <c r="K9" s="6" t="str">
        <f>IF(COUNTIF(Mac.DE110.Inp!$C9:$L9,"")=10,"",IF(Mac.DE110.Inp!$H9="","NULL",""""&amp;Mac.DE110.Inp!$H9&amp;""""))</f>
        <v>"7"</v>
      </c>
      <c r="L9" s="6" t="str">
        <f>IF(COUNTIF(Mac.DE110.Inp!$C9:$L9,"")=10,"",IF(Mac.DE110.Inp!$I9="","NULL",""""&amp;Mac.DE110.Inp!$I9&amp;""""))</f>
        <v>NULL</v>
      </c>
      <c r="M9" s="6" t="str">
        <f>IF(COUNTIF(Mac.DE110.Inp!$C9:$L9,"")=10,"",IF(Mac.DE110.Inp!$J9="","NULL",""""&amp;Mac.DE110.Inp!$J9&amp;""""))</f>
        <v>NULL</v>
      </c>
      <c r="N9" s="6">
        <f>IF(COUNTIF(Mac.DE110.Inp!$C9:$L9,"")=10,"",IF(Mac.DE110.Inp!$K9="","NULL",Mac.DE110.Inp!$K9))</f>
        <v>0</v>
      </c>
      <c r="O9" s="6">
        <f>IF(COUNTIF(Mac.DE110.Inp!$C9:$L9,"")=10,"",IF(Mac.DE110.Inp!$L9="","NULL",Mac.DE110.Inp!$L9))</f>
        <v>0</v>
      </c>
      <c r="P9" s="7" t="str">
        <f>IF(COUNTIF(Mac.DE110.Inp!$C9:$L9,"")=10,"","("&amp;aconcat($C9:$O9,",")&amp;"),")</f>
        <v>(NULL,NULL,8,504,48,72,69,"/","7",NULL,NULL,0,0),</v>
      </c>
    </row>
    <row r="10" spans="1:16" x14ac:dyDescent="0.3">
      <c r="A10" s="1">
        <v>8</v>
      </c>
      <c r="B10" s="1">
        <f t="shared" si="0"/>
        <v>9</v>
      </c>
      <c r="C10" s="6" t="str">
        <f>IF(COUNTIF(Mac.DE110.Inp!$C10:$L10,"")=10,"","NULL")</f>
        <v>NULL</v>
      </c>
      <c r="D10" s="6" t="str">
        <f>IF(COUNTIF(Mac.DE110.Inp!$C10:$L10,"")=10,"","NULL")</f>
        <v>NULL</v>
      </c>
      <c r="E10" s="6">
        <f>IF(COUNTIF(Mac.DE110.Inp!$C10:$L10,"")=10,"",$B10)</f>
        <v>9</v>
      </c>
      <c r="F10" s="6">
        <f>IF(COUNTIF(Mac.DE110.Inp!$C10:$L10,"")=10,"",IF(Mac.DE110.Inp!$C10="","NULL",Mac.DE110.Inp!$C10))</f>
        <v>576</v>
      </c>
      <c r="G10" s="6">
        <f>IF(COUNTIF(Mac.DE110.Inp!$C10:$L10,"")=10,"",IF(Mac.DE110.Inp!$D10="","NULL",Mac.DE110.Inp!$D10))</f>
        <v>48</v>
      </c>
      <c r="H10" s="6">
        <f>IF(COUNTIF(Mac.DE110.Inp!$C10:$L10,"")=10,"",IF(Mac.DE110.Inp!$E10="","NULL",Mac.DE110.Inp!$E10))</f>
        <v>72</v>
      </c>
      <c r="I10" s="6">
        <f>IF(COUNTIF(Mac.DE110.Inp!$C10:$L10,"")=10,"",IF(Mac.DE110.Inp!$F10="","NULL",Mac.DE110.Inp!$F10))</f>
        <v>69</v>
      </c>
      <c r="J10" s="6" t="str">
        <f>IF(COUNTIF(Mac.DE110.Inp!$C10:$L10,"")=10,"",IF(Mac.DE110.Inp!$G10="","NULL",""""&amp;Mac.DE110.Inp!$G10&amp;""""))</f>
        <v>"("</v>
      </c>
      <c r="K10" s="6" t="str">
        <f>IF(COUNTIF(Mac.DE110.Inp!$C10:$L10,"")=10,"",IF(Mac.DE110.Inp!$H10="","NULL",""""&amp;Mac.DE110.Inp!$H10&amp;""""))</f>
        <v>"8"</v>
      </c>
      <c r="L10" s="6" t="str">
        <f>IF(COUNTIF(Mac.DE110.Inp!$C10:$L10,"")=10,"",IF(Mac.DE110.Inp!$I10="","NULL",""""&amp;Mac.DE110.Inp!$I10&amp;""""))</f>
        <v>NULL</v>
      </c>
      <c r="M10" s="6" t="str">
        <f>IF(COUNTIF(Mac.DE110.Inp!$C10:$L10,"")=10,"",IF(Mac.DE110.Inp!$J10="","NULL",""""&amp;Mac.DE110.Inp!$J10&amp;""""))</f>
        <v>NULL</v>
      </c>
      <c r="N10" s="6">
        <f>IF(COUNTIF(Mac.DE110.Inp!$C10:$L10,"")=10,"",IF(Mac.DE110.Inp!$K10="","NULL",Mac.DE110.Inp!$K10))</f>
        <v>0</v>
      </c>
      <c r="O10" s="6">
        <f>IF(COUNTIF(Mac.DE110.Inp!$C10:$L10,"")=10,"",IF(Mac.DE110.Inp!$L10="","NULL",Mac.DE110.Inp!$L10))</f>
        <v>0</v>
      </c>
      <c r="P10" s="7" t="str">
        <f>IF(COUNTIF(Mac.DE110.Inp!$C10:$L10,"")=10,"","("&amp;aconcat($C10:$O10,",")&amp;"),")</f>
        <v>(NULL,NULL,9,576,48,72,69,"(","8",NULL,NULL,0,0),</v>
      </c>
    </row>
    <row r="11" spans="1:16" x14ac:dyDescent="0.3">
      <c r="A11" s="1">
        <v>9</v>
      </c>
      <c r="B11" s="1">
        <f t="shared" si="0"/>
        <v>10</v>
      </c>
      <c r="C11" s="6" t="str">
        <f>IF(COUNTIF(Mac.DE110.Inp!$C11:$L11,"")=10,"","NULL")</f>
        <v>NULL</v>
      </c>
      <c r="D11" s="6" t="str">
        <f>IF(COUNTIF(Mac.DE110.Inp!$C11:$L11,"")=10,"","NULL")</f>
        <v>NULL</v>
      </c>
      <c r="E11" s="6">
        <f>IF(COUNTIF(Mac.DE110.Inp!$C11:$L11,"")=10,"",$B11)</f>
        <v>10</v>
      </c>
      <c r="F11" s="6">
        <f>IF(COUNTIF(Mac.DE110.Inp!$C11:$L11,"")=10,"",IF(Mac.DE110.Inp!$C11="","NULL",Mac.DE110.Inp!$C11))</f>
        <v>648</v>
      </c>
      <c r="G11" s="6">
        <f>IF(COUNTIF(Mac.DE110.Inp!$C11:$L11,"")=10,"",IF(Mac.DE110.Inp!$D11="","NULL",Mac.DE110.Inp!$D11))</f>
        <v>48</v>
      </c>
      <c r="H11" s="6">
        <f>IF(COUNTIF(Mac.DE110.Inp!$C11:$L11,"")=10,"",IF(Mac.DE110.Inp!$E11="","NULL",Mac.DE110.Inp!$E11))</f>
        <v>72</v>
      </c>
      <c r="I11" s="6">
        <f>IF(COUNTIF(Mac.DE110.Inp!$C11:$L11,"")=10,"",IF(Mac.DE110.Inp!$F11="","NULL",Mac.DE110.Inp!$F11))</f>
        <v>69</v>
      </c>
      <c r="J11" s="6" t="str">
        <f>IF(COUNTIF(Mac.DE110.Inp!$C11:$L11,"")=10,"",IF(Mac.DE110.Inp!$G11="","NULL",""""&amp;Mac.DE110.Inp!$G11&amp;""""))</f>
        <v>")"</v>
      </c>
      <c r="K11" s="6" t="str">
        <f>IF(COUNTIF(Mac.DE110.Inp!$C11:$L11,"")=10,"",IF(Mac.DE110.Inp!$H11="","NULL",""""&amp;Mac.DE110.Inp!$H11&amp;""""))</f>
        <v>"9"</v>
      </c>
      <c r="L11" s="6" t="str">
        <f>IF(COUNTIF(Mac.DE110.Inp!$C11:$L11,"")=10,"",IF(Mac.DE110.Inp!$I11="","NULL",""""&amp;Mac.DE110.Inp!$I11&amp;""""))</f>
        <v>NULL</v>
      </c>
      <c r="M11" s="6" t="str">
        <f>IF(COUNTIF(Mac.DE110.Inp!$C11:$L11,"")=10,"",IF(Mac.DE110.Inp!$J11="","NULL",""""&amp;Mac.DE110.Inp!$J11&amp;""""))</f>
        <v>NULL</v>
      </c>
      <c r="N11" s="6">
        <f>IF(COUNTIF(Mac.DE110.Inp!$C11:$L11,"")=10,"",IF(Mac.DE110.Inp!$K11="","NULL",Mac.DE110.Inp!$K11))</f>
        <v>0</v>
      </c>
      <c r="O11" s="6">
        <f>IF(COUNTIF(Mac.DE110.Inp!$C11:$L11,"")=10,"",IF(Mac.DE110.Inp!$L11="","NULL",Mac.DE110.Inp!$L11))</f>
        <v>0</v>
      </c>
      <c r="P11" s="7" t="str">
        <f>IF(COUNTIF(Mac.DE110.Inp!$C11:$L11,"")=10,"","("&amp;aconcat($C11:$O11,",")&amp;"),")</f>
        <v>(NULL,NULL,10,648,48,72,69,")","9",NULL,NULL,0,0),</v>
      </c>
    </row>
    <row r="12" spans="1:16" x14ac:dyDescent="0.3">
      <c r="A12" s="1">
        <v>0</v>
      </c>
      <c r="B12" s="1">
        <f t="shared" si="0"/>
        <v>11</v>
      </c>
      <c r="C12" s="6" t="str">
        <f>IF(COUNTIF(Mac.DE110.Inp!$C12:$L12,"")=10,"","NULL")</f>
        <v>NULL</v>
      </c>
      <c r="D12" s="6" t="str">
        <f>IF(COUNTIF(Mac.DE110.Inp!$C12:$L12,"")=10,"","NULL")</f>
        <v>NULL</v>
      </c>
      <c r="E12" s="6">
        <f>IF(COUNTIF(Mac.DE110.Inp!$C12:$L12,"")=10,"",$B12)</f>
        <v>11</v>
      </c>
      <c r="F12" s="6">
        <f>IF(COUNTIF(Mac.DE110.Inp!$C12:$L12,"")=10,"",IF(Mac.DE110.Inp!$C12="","NULL",Mac.DE110.Inp!$C12))</f>
        <v>720</v>
      </c>
      <c r="G12" s="6">
        <f>IF(COUNTIF(Mac.DE110.Inp!$C12:$L12,"")=10,"",IF(Mac.DE110.Inp!$D12="","NULL",Mac.DE110.Inp!$D12))</f>
        <v>48</v>
      </c>
      <c r="H12" s="6">
        <f>IF(COUNTIF(Mac.DE110.Inp!$C12:$L12,"")=10,"",IF(Mac.DE110.Inp!$E12="","NULL",Mac.DE110.Inp!$E12))</f>
        <v>72</v>
      </c>
      <c r="I12" s="6">
        <f>IF(COUNTIF(Mac.DE110.Inp!$C12:$L12,"")=10,"",IF(Mac.DE110.Inp!$F12="","NULL",Mac.DE110.Inp!$F12))</f>
        <v>69</v>
      </c>
      <c r="J12" s="6" t="str">
        <f>IF(COUNTIF(Mac.DE110.Inp!$C12:$L12,"")=10,"",IF(Mac.DE110.Inp!$G12="","NULL",""""&amp;Mac.DE110.Inp!$G12&amp;""""))</f>
        <v>"="</v>
      </c>
      <c r="K12" s="6" t="str">
        <f>IF(COUNTIF(Mac.DE110.Inp!$C12:$L12,"")=10,"",IF(Mac.DE110.Inp!$H12="","NULL",""""&amp;Mac.DE110.Inp!$H12&amp;""""))</f>
        <v>"0"</v>
      </c>
      <c r="L12" s="6" t="str">
        <f>IF(COUNTIF(Mac.DE110.Inp!$C12:$L12,"")=10,"",IF(Mac.DE110.Inp!$I12="","NULL",""""&amp;Mac.DE110.Inp!$I12&amp;""""))</f>
        <v>NULL</v>
      </c>
      <c r="M12" s="6" t="str">
        <f>IF(COUNTIF(Mac.DE110.Inp!$C12:$L12,"")=10,"",IF(Mac.DE110.Inp!$J12="","NULL",""""&amp;Mac.DE110.Inp!$J12&amp;""""))</f>
        <v>NULL</v>
      </c>
      <c r="N12" s="6">
        <f>IF(COUNTIF(Mac.DE110.Inp!$C12:$L12,"")=10,"",IF(Mac.DE110.Inp!$K12="","NULL",Mac.DE110.Inp!$K12))</f>
        <v>0</v>
      </c>
      <c r="O12" s="6">
        <f>IF(COUNTIF(Mac.DE110.Inp!$C12:$L12,"")=10,"",IF(Mac.DE110.Inp!$L12="","NULL",Mac.DE110.Inp!$L12))</f>
        <v>0</v>
      </c>
      <c r="P12" s="7" t="str">
        <f>IF(COUNTIF(Mac.DE110.Inp!$C12:$L12,"")=10,"","("&amp;aconcat($C12:$O12,",")&amp;"),")</f>
        <v>(NULL,NULL,11,720,48,72,69,"=","0",NULL,NULL,0,0),</v>
      </c>
    </row>
    <row r="13" spans="1:16" x14ac:dyDescent="0.3">
      <c r="A13" s="1" t="s">
        <v>32</v>
      </c>
      <c r="B13" s="1">
        <f t="shared" si="0"/>
        <v>12</v>
      </c>
      <c r="C13" s="6" t="str">
        <f>IF(COUNTIF(Mac.DE110.Inp!$C13:$L13,"")=10,"","NULL")</f>
        <v>NULL</v>
      </c>
      <c r="D13" s="6" t="str">
        <f>IF(COUNTIF(Mac.DE110.Inp!$C13:$L13,"")=10,"","NULL")</f>
        <v>NULL</v>
      </c>
      <c r="E13" s="6">
        <f>IF(COUNTIF(Mac.DE110.Inp!$C13:$L13,"")=10,"",$B13)</f>
        <v>12</v>
      </c>
      <c r="F13" s="6">
        <f>IF(COUNTIF(Mac.DE110.Inp!$C13:$L13,"")=10,"",IF(Mac.DE110.Inp!$C13="","NULL",Mac.DE110.Inp!$C13))</f>
        <v>792</v>
      </c>
      <c r="G13" s="6">
        <f>IF(COUNTIF(Mac.DE110.Inp!$C13:$L13,"")=10,"",IF(Mac.DE110.Inp!$D13="","NULL",Mac.DE110.Inp!$D13))</f>
        <v>48</v>
      </c>
      <c r="H13" s="6">
        <f>IF(COUNTIF(Mac.DE110.Inp!$C13:$L13,"")=10,"",IF(Mac.DE110.Inp!$E13="","NULL",Mac.DE110.Inp!$E13))</f>
        <v>72</v>
      </c>
      <c r="I13" s="6">
        <f>IF(COUNTIF(Mac.DE110.Inp!$C13:$L13,"")=10,"",IF(Mac.DE110.Inp!$F13="","NULL",Mac.DE110.Inp!$F13))</f>
        <v>69</v>
      </c>
      <c r="J13" s="6" t="str">
        <f>IF(COUNTIF(Mac.DE110.Inp!$C13:$L13,"")=10,"",IF(Mac.DE110.Inp!$G13="","NULL",""""&amp;Mac.DE110.Inp!$G13&amp;""""))</f>
        <v>"?"</v>
      </c>
      <c r="K13" s="6" t="str">
        <f>IF(COUNTIF(Mac.DE110.Inp!$C13:$L13,"")=10,"",IF(Mac.DE110.Inp!$H13="","NULL",""""&amp;Mac.DE110.Inp!$H13&amp;""""))</f>
        <v>"ß"</v>
      </c>
      <c r="L13" s="6" t="str">
        <f>IF(COUNTIF(Mac.DE110.Inp!$C13:$L13,"")=10,"",IF(Mac.DE110.Inp!$I13="","NULL",""""&amp;Mac.DE110.Inp!$I13&amp;""""))</f>
        <v>NULL</v>
      </c>
      <c r="M13" s="6" t="str">
        <f>IF(COUNTIF(Mac.DE110.Inp!$C13:$L13,"")=10,"",IF(Mac.DE110.Inp!$J13="","NULL",""""&amp;Mac.DE110.Inp!$J13&amp;""""))</f>
        <v>NULL</v>
      </c>
      <c r="N13" s="6">
        <f>IF(COUNTIF(Mac.DE110.Inp!$C13:$L13,"")=10,"",IF(Mac.DE110.Inp!$K13="","NULL",Mac.DE110.Inp!$K13))</f>
        <v>0</v>
      </c>
      <c r="O13" s="6">
        <f>IF(COUNTIF(Mac.DE110.Inp!$C13:$L13,"")=10,"",IF(Mac.DE110.Inp!$L13="","NULL",Mac.DE110.Inp!$L13))</f>
        <v>0</v>
      </c>
      <c r="P13" s="7" t="str">
        <f>IF(COUNTIF(Mac.DE110.Inp!$C13:$L13,"")=10,"","("&amp;aconcat($C13:$O13,",")&amp;"),")</f>
        <v>(NULL,NULL,12,792,48,72,69,"?","ß",NULL,NULL,0,0),</v>
      </c>
    </row>
    <row r="14" spans="1:16" x14ac:dyDescent="0.3">
      <c r="A14" s="1" t="s">
        <v>35</v>
      </c>
      <c r="B14" s="1">
        <f t="shared" si="0"/>
        <v>13</v>
      </c>
      <c r="C14" s="6" t="str">
        <f>IF(COUNTIF(Mac.DE110.Inp!$C14:$L14,"")=10,"","NULL")</f>
        <v>NULL</v>
      </c>
      <c r="D14" s="6" t="str">
        <f>IF(COUNTIF(Mac.DE110.Inp!$C14:$L14,"")=10,"","NULL")</f>
        <v>NULL</v>
      </c>
      <c r="E14" s="6">
        <f>IF(COUNTIF(Mac.DE110.Inp!$C14:$L14,"")=10,"",$B14)</f>
        <v>13</v>
      </c>
      <c r="F14" s="6">
        <f>IF(COUNTIF(Mac.DE110.Inp!$C14:$L14,"")=10,"",IF(Mac.DE110.Inp!$C14="","NULL",Mac.DE110.Inp!$C14))</f>
        <v>864</v>
      </c>
      <c r="G14" s="6">
        <f>IF(COUNTIF(Mac.DE110.Inp!$C14:$L14,"")=10,"",IF(Mac.DE110.Inp!$D14="","NULL",Mac.DE110.Inp!$D14))</f>
        <v>48</v>
      </c>
      <c r="H14" s="6">
        <f>IF(COUNTIF(Mac.DE110.Inp!$C14:$L14,"")=10,"",IF(Mac.DE110.Inp!$E14="","NULL",Mac.DE110.Inp!$E14))</f>
        <v>72</v>
      </c>
      <c r="I14" s="6">
        <f>IF(COUNTIF(Mac.DE110.Inp!$C14:$L14,"")=10,"",IF(Mac.DE110.Inp!$F14="","NULL",Mac.DE110.Inp!$F14))</f>
        <v>69</v>
      </c>
      <c r="J14" s="6" t="str">
        <f>IF(COUNTIF(Mac.DE110.Inp!$C14:$L14,"")=10,"",IF(Mac.DE110.Inp!$G14="","NULL",""""&amp;Mac.DE110.Inp!$G14&amp;""""))</f>
        <v>"`"</v>
      </c>
      <c r="K14" s="6" t="str">
        <f>IF(COUNTIF(Mac.DE110.Inp!$C14:$L14,"")=10,"",IF(Mac.DE110.Inp!$H14="","NULL",""""&amp;Mac.DE110.Inp!$H14&amp;""""))</f>
        <v>"´"</v>
      </c>
      <c r="L14" s="6" t="str">
        <f>IF(COUNTIF(Mac.DE110.Inp!$C14:$L14,"")=10,"",IF(Mac.DE110.Inp!$I14="","NULL",""""&amp;Mac.DE110.Inp!$I14&amp;""""))</f>
        <v>NULL</v>
      </c>
      <c r="M14" s="6" t="str">
        <f>IF(COUNTIF(Mac.DE110.Inp!$C14:$L14,"")=10,"",IF(Mac.DE110.Inp!$J14="","NULL",""""&amp;Mac.DE110.Inp!$J14&amp;""""))</f>
        <v>NULL</v>
      </c>
      <c r="N14" s="6">
        <f>IF(COUNTIF(Mac.DE110.Inp!$C14:$L14,"")=10,"",IF(Mac.DE110.Inp!$K14="","NULL",Mac.DE110.Inp!$K14))</f>
        <v>0</v>
      </c>
      <c r="O14" s="6">
        <f>IF(COUNTIF(Mac.DE110.Inp!$C14:$L14,"")=10,"",IF(Mac.DE110.Inp!$L14="","NULL",Mac.DE110.Inp!$L14))</f>
        <v>0</v>
      </c>
      <c r="P14" s="7" t="str">
        <f>IF(COUNTIF(Mac.DE110.Inp!$C14:$L14,"")=10,"","("&amp;aconcat($C14:$O14,",")&amp;"),")</f>
        <v>(NULL,NULL,13,864,48,72,69,"`","´",NULL,NULL,0,0),</v>
      </c>
    </row>
    <row r="15" spans="1:16" x14ac:dyDescent="0.3">
      <c r="A15" s="1" t="s">
        <v>36</v>
      </c>
      <c r="B15" s="1">
        <f t="shared" si="0"/>
        <v>14</v>
      </c>
      <c r="C15" s="6" t="str">
        <f>IF(COUNTIF(Mac.DE110.Inp!$C15:$L15,"")=10,"","NULL")</f>
        <v>NULL</v>
      </c>
      <c r="D15" s="6" t="str">
        <f>IF(COUNTIF(Mac.DE110.Inp!$C15:$L15,"")=10,"","NULL")</f>
        <v>NULL</v>
      </c>
      <c r="E15" s="6">
        <f>IF(COUNTIF(Mac.DE110.Inp!$C15:$L15,"")=10,"",$B15)</f>
        <v>14</v>
      </c>
      <c r="F15" s="6">
        <f>IF(COUNTIF(Mac.DE110.Inp!$C15:$L15,"")=10,"",IF(Mac.DE110.Inp!$C15="","NULL",Mac.DE110.Inp!$C15))</f>
        <v>936</v>
      </c>
      <c r="G15" s="6">
        <f>IF(COUNTIF(Mac.DE110.Inp!$C15:$L15,"")=10,"",IF(Mac.DE110.Inp!$D15="","NULL",Mac.DE110.Inp!$D15))</f>
        <v>48</v>
      </c>
      <c r="H15" s="6">
        <f>IF(COUNTIF(Mac.DE110.Inp!$C15:$L15,"")=10,"",IF(Mac.DE110.Inp!$E15="","NULL",Mac.DE110.Inp!$E15))</f>
        <v>108</v>
      </c>
      <c r="I15" s="6">
        <f>IF(COUNTIF(Mac.DE110.Inp!$C15:$L15,"")=10,"",IF(Mac.DE110.Inp!$F15="","NULL",Mac.DE110.Inp!$F15))</f>
        <v>69</v>
      </c>
      <c r="J15" s="6" t="str">
        <f>IF(COUNTIF(Mac.DE110.Inp!$C15:$L15,"")=10,"",IF(Mac.DE110.Inp!$G15="","NULL",""""&amp;Mac.DE110.Inp!$G15&amp;""""))</f>
        <v>NULL</v>
      </c>
      <c r="K15" s="6" t="str">
        <f>IF(COUNTIF(Mac.DE110.Inp!$C15:$L15,"")=10,"",IF(Mac.DE110.Inp!$H15="","NULL",""""&amp;Mac.DE110.Inp!$H15&amp;""""))</f>
        <v>"Rückschrift"</v>
      </c>
      <c r="L15" s="6" t="str">
        <f>IF(COUNTIF(Mac.DE110.Inp!$C15:$L15,"")=10,"",IF(Mac.DE110.Inp!$I15="","NULL",""""&amp;Mac.DE110.Inp!$I15&amp;""""))</f>
        <v>NULL</v>
      </c>
      <c r="M15" s="6" t="str">
        <f>IF(COUNTIF(Mac.DE110.Inp!$C15:$L15,"")=10,"",IF(Mac.DE110.Inp!$J15="","NULL",""""&amp;Mac.DE110.Inp!$J15&amp;""""))</f>
        <v>NULL</v>
      </c>
      <c r="N15" s="6">
        <f>IF(COUNTIF(Mac.DE110.Inp!$C15:$L15,"")=10,"",IF(Mac.DE110.Inp!$K15="","NULL",Mac.DE110.Inp!$K15))</f>
        <v>0</v>
      </c>
      <c r="O15" s="6">
        <f>IF(COUNTIF(Mac.DE110.Inp!$C15:$L15,"")=10,"",IF(Mac.DE110.Inp!$L15="","NULL",Mac.DE110.Inp!$L15))</f>
        <v>0</v>
      </c>
      <c r="P15" s="7" t="str">
        <f>IF(COUNTIF(Mac.DE110.Inp!$C15:$L15,"")=10,"","("&amp;aconcat($C15:$O15,",")&amp;"),")</f>
        <v>(NULL,NULL,14,936,48,108,69,NULL,"Rückschrift",NULL,NULL,0,0),</v>
      </c>
    </row>
    <row r="16" spans="1:16" x14ac:dyDescent="0.3">
      <c r="A16" s="1" t="s">
        <v>37</v>
      </c>
      <c r="B16" s="1">
        <f t="shared" si="0"/>
        <v>15</v>
      </c>
      <c r="C16" s="6" t="str">
        <f>IF(COUNTIF(Mac.DE110.Inp!$C16:$L16,"")=10,"","NULL")</f>
        <v>NULL</v>
      </c>
      <c r="D16" s="6" t="str">
        <f>IF(COUNTIF(Mac.DE110.Inp!$C16:$L16,"")=10,"","NULL")</f>
        <v>NULL</v>
      </c>
      <c r="E16" s="6">
        <f>IF(COUNTIF(Mac.DE110.Inp!$C16:$L16,"")=10,"",$B16)</f>
        <v>15</v>
      </c>
      <c r="F16" s="6">
        <f>IF(COUNTIF(Mac.DE110.Inp!$C16:$L16,"")=10,"",IF(Mac.DE110.Inp!$C16="","NULL",Mac.DE110.Inp!$C16))</f>
        <v>0</v>
      </c>
      <c r="G16" s="6">
        <f>IF(COUNTIF(Mac.DE110.Inp!$C16:$L16,"")=10,"",IF(Mac.DE110.Inp!$D16="","NULL",Mac.DE110.Inp!$D16))</f>
        <v>117</v>
      </c>
      <c r="H16" s="6">
        <f>IF(COUNTIF(Mac.DE110.Inp!$C16:$L16,"")=10,"",IF(Mac.DE110.Inp!$E16="","NULL",Mac.DE110.Inp!$E16))</f>
        <v>108</v>
      </c>
      <c r="I16" s="6">
        <f>IF(COUNTIF(Mac.DE110.Inp!$C16:$L16,"")=10,"",IF(Mac.DE110.Inp!$F16="","NULL",Mac.DE110.Inp!$F16))</f>
        <v>69</v>
      </c>
      <c r="J16" s="6" t="str">
        <f>IF(COUNTIF(Mac.DE110.Inp!$C16:$L16,"")=10,"",IF(Mac.DE110.Inp!$G16="","NULL",""""&amp;Mac.DE110.Inp!$G16&amp;""""))</f>
        <v>NULL</v>
      </c>
      <c r="K16" s="6" t="str">
        <f>IF(COUNTIF(Mac.DE110.Inp!$C16:$L16,"")=10,"",IF(Mac.DE110.Inp!$H16="","NULL",""""&amp;Mac.DE110.Inp!$H16&amp;""""))</f>
        <v>"Tabstopp"</v>
      </c>
      <c r="L16" s="6" t="str">
        <f>IF(COUNTIF(Mac.DE110.Inp!$C16:$L16,"")=10,"",IF(Mac.DE110.Inp!$I16="","NULL",""""&amp;Mac.DE110.Inp!$I16&amp;""""))</f>
        <v>NULL</v>
      </c>
      <c r="M16" s="6" t="str">
        <f>IF(COUNTIF(Mac.DE110.Inp!$C16:$L16,"")=10,"",IF(Mac.DE110.Inp!$J16="","NULL",""""&amp;Mac.DE110.Inp!$J16&amp;""""))</f>
        <v>NULL</v>
      </c>
      <c r="N16" s="6">
        <f>IF(COUNTIF(Mac.DE110.Inp!$C16:$L16,"")=10,"",IF(Mac.DE110.Inp!$K16="","NULL",Mac.DE110.Inp!$K16))</f>
        <v>0</v>
      </c>
      <c r="O16" s="6">
        <f>IF(COUNTIF(Mac.DE110.Inp!$C16:$L16,"")=10,"",IF(Mac.DE110.Inp!$L16="","NULL",Mac.DE110.Inp!$L16))</f>
        <v>0</v>
      </c>
      <c r="P16" s="7" t="str">
        <f>IF(COUNTIF(Mac.DE110.Inp!$C16:$L16,"")=10,"","("&amp;aconcat($C16:$O16,",")&amp;"),")</f>
        <v>(NULL,NULL,15,0,117,108,69,NULL,"Tabstopp",NULL,NULL,0,0),</v>
      </c>
    </row>
    <row r="17" spans="1:16" x14ac:dyDescent="0.3">
      <c r="A17" s="1" t="s">
        <v>39</v>
      </c>
      <c r="B17" s="1">
        <f t="shared" si="0"/>
        <v>16</v>
      </c>
      <c r="C17" s="6" t="str">
        <f>IF(COUNTIF(Mac.DE110.Inp!$C17:$L17,"")=10,"","NULL")</f>
        <v>NULL</v>
      </c>
      <c r="D17" s="6" t="str">
        <f>IF(COUNTIF(Mac.DE110.Inp!$C17:$L17,"")=10,"","NULL")</f>
        <v>NULL</v>
      </c>
      <c r="E17" s="6">
        <f>IF(COUNTIF(Mac.DE110.Inp!$C17:$L17,"")=10,"",$B17)</f>
        <v>16</v>
      </c>
      <c r="F17" s="6">
        <f>IF(COUNTIF(Mac.DE110.Inp!$C17:$L17,"")=10,"",IF(Mac.DE110.Inp!$C17="","NULL",Mac.DE110.Inp!$C17))</f>
        <v>108</v>
      </c>
      <c r="G17" s="6">
        <f>IF(COUNTIF(Mac.DE110.Inp!$C17:$L17,"")=10,"",IF(Mac.DE110.Inp!$D17="","NULL",Mac.DE110.Inp!$D17))</f>
        <v>117</v>
      </c>
      <c r="H17" s="6">
        <f>IF(COUNTIF(Mac.DE110.Inp!$C17:$L17,"")=10,"",IF(Mac.DE110.Inp!$E17="","NULL",Mac.DE110.Inp!$E17))</f>
        <v>72</v>
      </c>
      <c r="I17" s="6">
        <f>IF(COUNTIF(Mac.DE110.Inp!$C17:$L17,"")=10,"",IF(Mac.DE110.Inp!$F17="","NULL",Mac.DE110.Inp!$F17))</f>
        <v>69</v>
      </c>
      <c r="J17" s="6" t="str">
        <f>IF(COUNTIF(Mac.DE110.Inp!$C17:$L17,"")=10,"",IF(Mac.DE110.Inp!$G17="","NULL",""""&amp;Mac.DE110.Inp!$G17&amp;""""))</f>
        <v>"Q"</v>
      </c>
      <c r="K17" s="6" t="str">
        <f>IF(COUNTIF(Mac.DE110.Inp!$C17:$L17,"")=10,"",IF(Mac.DE110.Inp!$H17="","NULL",""""&amp;Mac.DE110.Inp!$H17&amp;""""))</f>
        <v>"q"</v>
      </c>
      <c r="L17" s="6" t="str">
        <f>IF(COUNTIF(Mac.DE110.Inp!$C17:$L17,"")=10,"",IF(Mac.DE110.Inp!$I17="","NULL",""""&amp;Mac.DE110.Inp!$I17&amp;""""))</f>
        <v>NULL</v>
      </c>
      <c r="M17" s="6" t="str">
        <f>IF(COUNTIF(Mac.DE110.Inp!$C17:$L17,"")=10,"",IF(Mac.DE110.Inp!$J17="","NULL",""""&amp;Mac.DE110.Inp!$J17&amp;""""))</f>
        <v>NULL</v>
      </c>
      <c r="N17" s="6">
        <f>IF(COUNTIF(Mac.DE110.Inp!$C17:$L17,"")=10,"",IF(Mac.DE110.Inp!$K17="","NULL",Mac.DE110.Inp!$K17))</f>
        <v>1</v>
      </c>
      <c r="O17" s="6">
        <f>IF(COUNTIF(Mac.DE110.Inp!$C17:$L17,"")=10,"",IF(Mac.DE110.Inp!$L17="","NULL",Mac.DE110.Inp!$L17))</f>
        <v>0</v>
      </c>
      <c r="P17" s="7" t="str">
        <f>IF(COUNTIF(Mac.DE110.Inp!$C17:$L17,"")=10,"","("&amp;aconcat($C17:$O17,",")&amp;"),")</f>
        <v>(NULL,NULL,16,108,117,72,69,"Q","q",NULL,NULL,1,0),</v>
      </c>
    </row>
    <row r="18" spans="1:16" x14ac:dyDescent="0.3">
      <c r="A18" s="1" t="s">
        <v>42</v>
      </c>
      <c r="B18" s="1">
        <f t="shared" si="0"/>
        <v>17</v>
      </c>
      <c r="C18" s="6" t="str">
        <f>IF(COUNTIF(Mac.DE110.Inp!$C18:$L18,"")=10,"","NULL")</f>
        <v>NULL</v>
      </c>
      <c r="D18" s="6" t="str">
        <f>IF(COUNTIF(Mac.DE110.Inp!$C18:$L18,"")=10,"","NULL")</f>
        <v>NULL</v>
      </c>
      <c r="E18" s="6">
        <f>IF(COUNTIF(Mac.DE110.Inp!$C18:$L18,"")=10,"",$B18)</f>
        <v>17</v>
      </c>
      <c r="F18" s="6">
        <f>IF(COUNTIF(Mac.DE110.Inp!$C18:$L18,"")=10,"",IF(Mac.DE110.Inp!$C18="","NULL",Mac.DE110.Inp!$C18))</f>
        <v>180</v>
      </c>
      <c r="G18" s="6">
        <f>IF(COUNTIF(Mac.DE110.Inp!$C18:$L18,"")=10,"",IF(Mac.DE110.Inp!$D18="","NULL",Mac.DE110.Inp!$D18))</f>
        <v>117</v>
      </c>
      <c r="H18" s="6">
        <f>IF(COUNTIF(Mac.DE110.Inp!$C18:$L18,"")=10,"",IF(Mac.DE110.Inp!$E18="","NULL",Mac.DE110.Inp!$E18))</f>
        <v>72</v>
      </c>
      <c r="I18" s="6">
        <f>IF(COUNTIF(Mac.DE110.Inp!$C18:$L18,"")=10,"",IF(Mac.DE110.Inp!$F18="","NULL",Mac.DE110.Inp!$F18))</f>
        <v>69</v>
      </c>
      <c r="J18" s="6" t="str">
        <f>IF(COUNTIF(Mac.DE110.Inp!$C18:$L18,"")=10,"",IF(Mac.DE110.Inp!$G18="","NULL",""""&amp;Mac.DE110.Inp!$G18&amp;""""))</f>
        <v>"W"</v>
      </c>
      <c r="K18" s="6" t="str">
        <f>IF(COUNTIF(Mac.DE110.Inp!$C18:$L18,"")=10,"",IF(Mac.DE110.Inp!$H18="","NULL",""""&amp;Mac.DE110.Inp!$H18&amp;""""))</f>
        <v>"w"</v>
      </c>
      <c r="L18" s="6" t="str">
        <f>IF(COUNTIF(Mac.DE110.Inp!$C18:$L18,"")=10,"",IF(Mac.DE110.Inp!$I18="","NULL",""""&amp;Mac.DE110.Inp!$I18&amp;""""))</f>
        <v>NULL</v>
      </c>
      <c r="M18" s="6" t="str">
        <f>IF(COUNTIF(Mac.DE110.Inp!$C18:$L18,"")=10,"",IF(Mac.DE110.Inp!$J18="","NULL",""""&amp;Mac.DE110.Inp!$J18&amp;""""))</f>
        <v>NULL</v>
      </c>
      <c r="N18" s="6">
        <f>IF(COUNTIF(Mac.DE110.Inp!$C18:$L18,"")=10,"",IF(Mac.DE110.Inp!$K18="","NULL",Mac.DE110.Inp!$K18))</f>
        <v>1</v>
      </c>
      <c r="O18" s="6">
        <f>IF(COUNTIF(Mac.DE110.Inp!$C18:$L18,"")=10,"",IF(Mac.DE110.Inp!$L18="","NULL",Mac.DE110.Inp!$L18))</f>
        <v>0</v>
      </c>
      <c r="P18" s="7" t="str">
        <f>IF(COUNTIF(Mac.DE110.Inp!$C18:$L18,"")=10,"","("&amp;aconcat($C18:$O18,",")&amp;"),")</f>
        <v>(NULL,NULL,17,180,117,72,69,"W","w",NULL,NULL,1,0),</v>
      </c>
    </row>
    <row r="19" spans="1:16" x14ac:dyDescent="0.3">
      <c r="A19" s="1" t="s">
        <v>44</v>
      </c>
      <c r="B19" s="1">
        <f t="shared" si="0"/>
        <v>18</v>
      </c>
      <c r="C19" s="6" t="str">
        <f>IF(COUNTIF(Mac.DE110.Inp!$C19:$L19,"")=10,"","NULL")</f>
        <v>NULL</v>
      </c>
      <c r="D19" s="6" t="str">
        <f>IF(COUNTIF(Mac.DE110.Inp!$C19:$L19,"")=10,"","NULL")</f>
        <v>NULL</v>
      </c>
      <c r="E19" s="6">
        <f>IF(COUNTIF(Mac.DE110.Inp!$C19:$L19,"")=10,"",$B19)</f>
        <v>18</v>
      </c>
      <c r="F19" s="6">
        <f>IF(COUNTIF(Mac.DE110.Inp!$C19:$L19,"")=10,"",IF(Mac.DE110.Inp!$C19="","NULL",Mac.DE110.Inp!$C19))</f>
        <v>252</v>
      </c>
      <c r="G19" s="6">
        <f>IF(COUNTIF(Mac.DE110.Inp!$C19:$L19,"")=10,"",IF(Mac.DE110.Inp!$D19="","NULL",Mac.DE110.Inp!$D19))</f>
        <v>117</v>
      </c>
      <c r="H19" s="6">
        <f>IF(COUNTIF(Mac.DE110.Inp!$C19:$L19,"")=10,"",IF(Mac.DE110.Inp!$E19="","NULL",Mac.DE110.Inp!$E19))</f>
        <v>72</v>
      </c>
      <c r="I19" s="6">
        <f>IF(COUNTIF(Mac.DE110.Inp!$C19:$L19,"")=10,"",IF(Mac.DE110.Inp!$F19="","NULL",Mac.DE110.Inp!$F19))</f>
        <v>69</v>
      </c>
      <c r="J19" s="6" t="str">
        <f>IF(COUNTIF(Mac.DE110.Inp!$C19:$L19,"")=10,"",IF(Mac.DE110.Inp!$G19="","NULL",""""&amp;Mac.DE110.Inp!$G19&amp;""""))</f>
        <v>"E"</v>
      </c>
      <c r="K19" s="6" t="str">
        <f>IF(COUNTIF(Mac.DE110.Inp!$C19:$L19,"")=10,"",IF(Mac.DE110.Inp!$H19="","NULL",""""&amp;Mac.DE110.Inp!$H19&amp;""""))</f>
        <v>"e"</v>
      </c>
      <c r="L19" s="6" t="str">
        <f>IF(COUNTIF(Mac.DE110.Inp!$C19:$L19,"")=10,"",IF(Mac.DE110.Inp!$I19="","NULL",""""&amp;Mac.DE110.Inp!$I19&amp;""""))</f>
        <v>NULL</v>
      </c>
      <c r="M19" s="6" t="str">
        <f>IF(COUNTIF(Mac.DE110.Inp!$C19:$L19,"")=10,"",IF(Mac.DE110.Inp!$J19="","NULL",""""&amp;Mac.DE110.Inp!$J19&amp;""""))</f>
        <v>"€"</v>
      </c>
      <c r="N19" s="6">
        <f>IF(COUNTIF(Mac.DE110.Inp!$C19:$L19,"")=10,"",IF(Mac.DE110.Inp!$K19="","NULL",Mac.DE110.Inp!$K19))</f>
        <v>1</v>
      </c>
      <c r="O19" s="6">
        <f>IF(COUNTIF(Mac.DE110.Inp!$C19:$L19,"")=10,"",IF(Mac.DE110.Inp!$L19="","NULL",Mac.DE110.Inp!$L19))</f>
        <v>0</v>
      </c>
      <c r="P19" s="7" t="str">
        <f>IF(COUNTIF(Mac.DE110.Inp!$C19:$L19,"")=10,"","("&amp;aconcat($C19:$O19,",")&amp;"),")</f>
        <v>(NULL,NULL,18,252,117,72,69,"E","e",NULL,"€",1,0),</v>
      </c>
    </row>
    <row r="20" spans="1:16" x14ac:dyDescent="0.3">
      <c r="A20" s="1" t="s">
        <v>47</v>
      </c>
      <c r="B20" s="1">
        <f t="shared" si="0"/>
        <v>19</v>
      </c>
      <c r="C20" s="6" t="str">
        <f>IF(COUNTIF(Mac.DE110.Inp!$C20:$L20,"")=10,"","NULL")</f>
        <v>NULL</v>
      </c>
      <c r="D20" s="6" t="str">
        <f>IF(COUNTIF(Mac.DE110.Inp!$C20:$L20,"")=10,"","NULL")</f>
        <v>NULL</v>
      </c>
      <c r="E20" s="6">
        <f>IF(COUNTIF(Mac.DE110.Inp!$C20:$L20,"")=10,"",$B20)</f>
        <v>19</v>
      </c>
      <c r="F20" s="6">
        <f>IF(COUNTIF(Mac.DE110.Inp!$C20:$L20,"")=10,"",IF(Mac.DE110.Inp!$C20="","NULL",Mac.DE110.Inp!$C20))</f>
        <v>324</v>
      </c>
      <c r="G20" s="6">
        <f>IF(COUNTIF(Mac.DE110.Inp!$C20:$L20,"")=10,"",IF(Mac.DE110.Inp!$D20="","NULL",Mac.DE110.Inp!$D20))</f>
        <v>117</v>
      </c>
      <c r="H20" s="6">
        <f>IF(COUNTIF(Mac.DE110.Inp!$C20:$L20,"")=10,"",IF(Mac.DE110.Inp!$E20="","NULL",Mac.DE110.Inp!$E20))</f>
        <v>72</v>
      </c>
      <c r="I20" s="6">
        <f>IF(COUNTIF(Mac.DE110.Inp!$C20:$L20,"")=10,"",IF(Mac.DE110.Inp!$F20="","NULL",Mac.DE110.Inp!$F20))</f>
        <v>69</v>
      </c>
      <c r="J20" s="6" t="str">
        <f>IF(COUNTIF(Mac.DE110.Inp!$C20:$L20,"")=10,"",IF(Mac.DE110.Inp!$G20="","NULL",""""&amp;Mac.DE110.Inp!$G20&amp;""""))</f>
        <v>"R"</v>
      </c>
      <c r="K20" s="6" t="str">
        <f>IF(COUNTIF(Mac.DE110.Inp!$C20:$L20,"")=10,"",IF(Mac.DE110.Inp!$H20="","NULL",""""&amp;Mac.DE110.Inp!$H20&amp;""""))</f>
        <v>"r"</v>
      </c>
      <c r="L20" s="6" t="str">
        <f>IF(COUNTIF(Mac.DE110.Inp!$C20:$L20,"")=10,"",IF(Mac.DE110.Inp!$I20="","NULL",""""&amp;Mac.DE110.Inp!$I20&amp;""""))</f>
        <v>NULL</v>
      </c>
      <c r="M20" s="6" t="str">
        <f>IF(COUNTIF(Mac.DE110.Inp!$C20:$L20,"")=10,"",IF(Mac.DE110.Inp!$J20="","NULL",""""&amp;Mac.DE110.Inp!$J20&amp;""""))</f>
        <v>NULL</v>
      </c>
      <c r="N20" s="6">
        <f>IF(COUNTIF(Mac.DE110.Inp!$C20:$L20,"")=10,"",IF(Mac.DE110.Inp!$K20="","NULL",Mac.DE110.Inp!$K20))</f>
        <v>1</v>
      </c>
      <c r="O20" s="6">
        <f>IF(COUNTIF(Mac.DE110.Inp!$C20:$L20,"")=10,"",IF(Mac.DE110.Inp!$L20="","NULL",Mac.DE110.Inp!$L20))</f>
        <v>0</v>
      </c>
      <c r="P20" s="7" t="str">
        <f>IF(COUNTIF(Mac.DE110.Inp!$C20:$L20,"")=10,"","("&amp;aconcat($C20:$O20,",")&amp;"),")</f>
        <v>(NULL,NULL,19,324,117,72,69,"R","r",NULL,NULL,1,0),</v>
      </c>
    </row>
    <row r="21" spans="1:16" x14ac:dyDescent="0.3">
      <c r="A21" s="1" t="s">
        <v>49</v>
      </c>
      <c r="B21" s="1">
        <f t="shared" si="0"/>
        <v>20</v>
      </c>
      <c r="C21" s="6" t="str">
        <f>IF(COUNTIF(Mac.DE110.Inp!$C21:$L21,"")=10,"","NULL")</f>
        <v>NULL</v>
      </c>
      <c r="D21" s="6" t="str">
        <f>IF(COUNTIF(Mac.DE110.Inp!$C21:$L21,"")=10,"","NULL")</f>
        <v>NULL</v>
      </c>
      <c r="E21" s="6">
        <f>IF(COUNTIF(Mac.DE110.Inp!$C21:$L21,"")=10,"",$B21)</f>
        <v>20</v>
      </c>
      <c r="F21" s="6">
        <f>IF(COUNTIF(Mac.DE110.Inp!$C21:$L21,"")=10,"",IF(Mac.DE110.Inp!$C21="","NULL",Mac.DE110.Inp!$C21))</f>
        <v>396</v>
      </c>
      <c r="G21" s="6">
        <f>IF(COUNTIF(Mac.DE110.Inp!$C21:$L21,"")=10,"",IF(Mac.DE110.Inp!$D21="","NULL",Mac.DE110.Inp!$D21))</f>
        <v>117</v>
      </c>
      <c r="H21" s="6">
        <f>IF(COUNTIF(Mac.DE110.Inp!$C21:$L21,"")=10,"",IF(Mac.DE110.Inp!$E21="","NULL",Mac.DE110.Inp!$E21))</f>
        <v>72</v>
      </c>
      <c r="I21" s="6">
        <f>IF(COUNTIF(Mac.DE110.Inp!$C21:$L21,"")=10,"",IF(Mac.DE110.Inp!$F21="","NULL",Mac.DE110.Inp!$F21))</f>
        <v>69</v>
      </c>
      <c r="J21" s="6" t="str">
        <f>IF(COUNTIF(Mac.DE110.Inp!$C21:$L21,"")=10,"",IF(Mac.DE110.Inp!$G21="","NULL",""""&amp;Mac.DE110.Inp!$G21&amp;""""))</f>
        <v>"T"</v>
      </c>
      <c r="K21" s="6" t="str">
        <f>IF(COUNTIF(Mac.DE110.Inp!$C21:$L21,"")=10,"",IF(Mac.DE110.Inp!$H21="","NULL",""""&amp;Mac.DE110.Inp!$H21&amp;""""))</f>
        <v>"t"</v>
      </c>
      <c r="L21" s="6" t="str">
        <f>IF(COUNTIF(Mac.DE110.Inp!$C21:$L21,"")=10,"",IF(Mac.DE110.Inp!$I21="","NULL",""""&amp;Mac.DE110.Inp!$I21&amp;""""))</f>
        <v>NULL</v>
      </c>
      <c r="M21" s="6" t="str">
        <f>IF(COUNTIF(Mac.DE110.Inp!$C21:$L21,"")=10,"",IF(Mac.DE110.Inp!$J21="","NULL",""""&amp;Mac.DE110.Inp!$J21&amp;""""))</f>
        <v>NULL</v>
      </c>
      <c r="N21" s="6">
        <f>IF(COUNTIF(Mac.DE110.Inp!$C21:$L21,"")=10,"",IF(Mac.DE110.Inp!$K21="","NULL",Mac.DE110.Inp!$K21))</f>
        <v>1</v>
      </c>
      <c r="O21" s="6">
        <f>IF(COUNTIF(Mac.DE110.Inp!$C21:$L21,"")=10,"",IF(Mac.DE110.Inp!$L21="","NULL",Mac.DE110.Inp!$L21))</f>
        <v>0</v>
      </c>
      <c r="P21" s="7" t="str">
        <f>IF(COUNTIF(Mac.DE110.Inp!$C21:$L21,"")=10,"","("&amp;aconcat($C21:$O21,",")&amp;"),")</f>
        <v>(NULL,NULL,20,396,117,72,69,"T","t",NULL,NULL,1,0),</v>
      </c>
    </row>
    <row r="22" spans="1:16" x14ac:dyDescent="0.3">
      <c r="A22" s="1" t="s">
        <v>51</v>
      </c>
      <c r="B22" s="1">
        <f t="shared" si="0"/>
        <v>21</v>
      </c>
      <c r="C22" s="6" t="str">
        <f>IF(COUNTIF(Mac.DE110.Inp!$C22:$L22,"")=10,"","NULL")</f>
        <v>NULL</v>
      </c>
      <c r="D22" s="6" t="str">
        <f>IF(COUNTIF(Mac.DE110.Inp!$C22:$L22,"")=10,"","NULL")</f>
        <v>NULL</v>
      </c>
      <c r="E22" s="6">
        <f>IF(COUNTIF(Mac.DE110.Inp!$C22:$L22,"")=10,"",$B22)</f>
        <v>21</v>
      </c>
      <c r="F22" s="6">
        <f>IF(COUNTIF(Mac.DE110.Inp!$C22:$L22,"")=10,"",IF(Mac.DE110.Inp!$C22="","NULL",Mac.DE110.Inp!$C22))</f>
        <v>468</v>
      </c>
      <c r="G22" s="6">
        <f>IF(COUNTIF(Mac.DE110.Inp!$C22:$L22,"")=10,"",IF(Mac.DE110.Inp!$D22="","NULL",Mac.DE110.Inp!$D22))</f>
        <v>117</v>
      </c>
      <c r="H22" s="6">
        <f>IF(COUNTIF(Mac.DE110.Inp!$C22:$L22,"")=10,"",IF(Mac.DE110.Inp!$E22="","NULL",Mac.DE110.Inp!$E22))</f>
        <v>72</v>
      </c>
      <c r="I22" s="6">
        <f>IF(COUNTIF(Mac.DE110.Inp!$C22:$L22,"")=10,"",IF(Mac.DE110.Inp!$F22="","NULL",Mac.DE110.Inp!$F22))</f>
        <v>69</v>
      </c>
      <c r="J22" s="6" t="str">
        <f>IF(COUNTIF(Mac.DE110.Inp!$C22:$L22,"")=10,"",IF(Mac.DE110.Inp!$G22="","NULL",""""&amp;Mac.DE110.Inp!$G22&amp;""""))</f>
        <v>"Z"</v>
      </c>
      <c r="K22" s="6" t="str">
        <f>IF(COUNTIF(Mac.DE110.Inp!$C22:$L22,"")=10,"",IF(Mac.DE110.Inp!$H22="","NULL",""""&amp;Mac.DE110.Inp!$H22&amp;""""))</f>
        <v>"z"</v>
      </c>
      <c r="L22" s="6" t="str">
        <f>IF(COUNTIF(Mac.DE110.Inp!$C22:$L22,"")=10,"",IF(Mac.DE110.Inp!$I22="","NULL",""""&amp;Mac.DE110.Inp!$I22&amp;""""))</f>
        <v>NULL</v>
      </c>
      <c r="M22" s="6" t="str">
        <f>IF(COUNTIF(Mac.DE110.Inp!$C22:$L22,"")=10,"",IF(Mac.DE110.Inp!$J22="","NULL",""""&amp;Mac.DE110.Inp!$J22&amp;""""))</f>
        <v>NULL</v>
      </c>
      <c r="N22" s="6">
        <f>IF(COUNTIF(Mac.DE110.Inp!$C22:$L22,"")=10,"",IF(Mac.DE110.Inp!$K22="","NULL",Mac.DE110.Inp!$K22))</f>
        <v>1</v>
      </c>
      <c r="O22" s="6">
        <f>IF(COUNTIF(Mac.DE110.Inp!$C22:$L22,"")=10,"",IF(Mac.DE110.Inp!$L22="","NULL",Mac.DE110.Inp!$L22))</f>
        <v>0</v>
      </c>
      <c r="P22" s="7" t="str">
        <f>IF(COUNTIF(Mac.DE110.Inp!$C22:$L22,"")=10,"","("&amp;aconcat($C22:$O22,",")&amp;"),")</f>
        <v>(NULL,NULL,21,468,117,72,69,"Z","z",NULL,NULL,1,0),</v>
      </c>
    </row>
    <row r="23" spans="1:16" x14ac:dyDescent="0.3">
      <c r="A23" s="1" t="s">
        <v>53</v>
      </c>
      <c r="B23" s="1">
        <f t="shared" si="0"/>
        <v>22</v>
      </c>
      <c r="C23" s="6" t="str">
        <f>IF(COUNTIF(Mac.DE110.Inp!$C23:$L23,"")=10,"","NULL")</f>
        <v>NULL</v>
      </c>
      <c r="D23" s="6" t="str">
        <f>IF(COUNTIF(Mac.DE110.Inp!$C23:$L23,"")=10,"","NULL")</f>
        <v>NULL</v>
      </c>
      <c r="E23" s="6">
        <f>IF(COUNTIF(Mac.DE110.Inp!$C23:$L23,"")=10,"",$B23)</f>
        <v>22</v>
      </c>
      <c r="F23" s="6">
        <f>IF(COUNTIF(Mac.DE110.Inp!$C23:$L23,"")=10,"",IF(Mac.DE110.Inp!$C23="","NULL",Mac.DE110.Inp!$C23))</f>
        <v>540</v>
      </c>
      <c r="G23" s="6">
        <f>IF(COUNTIF(Mac.DE110.Inp!$C23:$L23,"")=10,"",IF(Mac.DE110.Inp!$D23="","NULL",Mac.DE110.Inp!$D23))</f>
        <v>117</v>
      </c>
      <c r="H23" s="6">
        <f>IF(COUNTIF(Mac.DE110.Inp!$C23:$L23,"")=10,"",IF(Mac.DE110.Inp!$E23="","NULL",Mac.DE110.Inp!$E23))</f>
        <v>72</v>
      </c>
      <c r="I23" s="6">
        <f>IF(COUNTIF(Mac.DE110.Inp!$C23:$L23,"")=10,"",IF(Mac.DE110.Inp!$F23="","NULL",Mac.DE110.Inp!$F23))</f>
        <v>69</v>
      </c>
      <c r="J23" s="6" t="str">
        <f>IF(COUNTIF(Mac.DE110.Inp!$C23:$L23,"")=10,"",IF(Mac.DE110.Inp!$G23="","NULL",""""&amp;Mac.DE110.Inp!$G23&amp;""""))</f>
        <v>"U"</v>
      </c>
      <c r="K23" s="6" t="str">
        <f>IF(COUNTIF(Mac.DE110.Inp!$C23:$L23,"")=10,"",IF(Mac.DE110.Inp!$H23="","NULL",""""&amp;Mac.DE110.Inp!$H23&amp;""""))</f>
        <v>"u"</v>
      </c>
      <c r="L23" s="6" t="str">
        <f>IF(COUNTIF(Mac.DE110.Inp!$C23:$L23,"")=10,"",IF(Mac.DE110.Inp!$I23="","NULL",""""&amp;Mac.DE110.Inp!$I23&amp;""""))</f>
        <v>NULL</v>
      </c>
      <c r="M23" s="6" t="str">
        <f>IF(COUNTIF(Mac.DE110.Inp!$C23:$L23,"")=10,"",IF(Mac.DE110.Inp!$J23="","NULL",""""&amp;Mac.DE110.Inp!$J23&amp;""""))</f>
        <v>NULL</v>
      </c>
      <c r="N23" s="6">
        <f>IF(COUNTIF(Mac.DE110.Inp!$C23:$L23,"")=10,"",IF(Mac.DE110.Inp!$K23="","NULL",Mac.DE110.Inp!$K23))</f>
        <v>1</v>
      </c>
      <c r="O23" s="6">
        <f>IF(COUNTIF(Mac.DE110.Inp!$C23:$L23,"")=10,"",IF(Mac.DE110.Inp!$L23="","NULL",Mac.DE110.Inp!$L23))</f>
        <v>0</v>
      </c>
      <c r="P23" s="7" t="str">
        <f>IF(COUNTIF(Mac.DE110.Inp!$C23:$L23,"")=10,"","("&amp;aconcat($C23:$O23,",")&amp;"),")</f>
        <v>(NULL,NULL,22,540,117,72,69,"U","u",NULL,NULL,1,0),</v>
      </c>
    </row>
    <row r="24" spans="1:16" x14ac:dyDescent="0.3">
      <c r="A24" s="1" t="s">
        <v>55</v>
      </c>
      <c r="B24" s="1">
        <f t="shared" si="0"/>
        <v>23</v>
      </c>
      <c r="C24" s="6" t="str">
        <f>IF(COUNTIF(Mac.DE110.Inp!$C24:$L24,"")=10,"","NULL")</f>
        <v>NULL</v>
      </c>
      <c r="D24" s="6" t="str">
        <f>IF(COUNTIF(Mac.DE110.Inp!$C24:$L24,"")=10,"","NULL")</f>
        <v>NULL</v>
      </c>
      <c r="E24" s="6">
        <f>IF(COUNTIF(Mac.DE110.Inp!$C24:$L24,"")=10,"",$B24)</f>
        <v>23</v>
      </c>
      <c r="F24" s="6">
        <f>IF(COUNTIF(Mac.DE110.Inp!$C24:$L24,"")=10,"",IF(Mac.DE110.Inp!$C24="","NULL",Mac.DE110.Inp!$C24))</f>
        <v>612</v>
      </c>
      <c r="G24" s="6">
        <f>IF(COUNTIF(Mac.DE110.Inp!$C24:$L24,"")=10,"",IF(Mac.DE110.Inp!$D24="","NULL",Mac.DE110.Inp!$D24))</f>
        <v>117</v>
      </c>
      <c r="H24" s="6">
        <f>IF(COUNTIF(Mac.DE110.Inp!$C24:$L24,"")=10,"",IF(Mac.DE110.Inp!$E24="","NULL",Mac.DE110.Inp!$E24))</f>
        <v>72</v>
      </c>
      <c r="I24" s="6">
        <f>IF(COUNTIF(Mac.DE110.Inp!$C24:$L24,"")=10,"",IF(Mac.DE110.Inp!$F24="","NULL",Mac.DE110.Inp!$F24))</f>
        <v>69</v>
      </c>
      <c r="J24" s="6" t="str">
        <f>IF(COUNTIF(Mac.DE110.Inp!$C24:$L24,"")=10,"",IF(Mac.DE110.Inp!$G24="","NULL",""""&amp;Mac.DE110.Inp!$G24&amp;""""))</f>
        <v>"I"</v>
      </c>
      <c r="K24" s="6" t="str">
        <f>IF(COUNTIF(Mac.DE110.Inp!$C24:$L24,"")=10,"",IF(Mac.DE110.Inp!$H24="","NULL",""""&amp;Mac.DE110.Inp!$H24&amp;""""))</f>
        <v>"i"</v>
      </c>
      <c r="L24" s="6" t="str">
        <f>IF(COUNTIF(Mac.DE110.Inp!$C24:$L24,"")=10,"",IF(Mac.DE110.Inp!$I24="","NULL",""""&amp;Mac.DE110.Inp!$I24&amp;""""))</f>
        <v>NULL</v>
      </c>
      <c r="M24" s="6" t="str">
        <f>IF(COUNTIF(Mac.DE110.Inp!$C24:$L24,"")=10,"",IF(Mac.DE110.Inp!$J24="","NULL",""""&amp;Mac.DE110.Inp!$J24&amp;""""))</f>
        <v>NULL</v>
      </c>
      <c r="N24" s="6">
        <f>IF(COUNTIF(Mac.DE110.Inp!$C24:$L24,"")=10,"",IF(Mac.DE110.Inp!$K24="","NULL",Mac.DE110.Inp!$K24))</f>
        <v>1</v>
      </c>
      <c r="O24" s="6">
        <f>IF(COUNTIF(Mac.DE110.Inp!$C24:$L24,"")=10,"",IF(Mac.DE110.Inp!$L24="","NULL",Mac.DE110.Inp!$L24))</f>
        <v>0</v>
      </c>
      <c r="P24" s="7" t="str">
        <f>IF(COUNTIF(Mac.DE110.Inp!$C24:$L24,"")=10,"","("&amp;aconcat($C24:$O24,",")&amp;"),")</f>
        <v>(NULL,NULL,23,612,117,72,69,"I","i",NULL,NULL,1,0),</v>
      </c>
    </row>
    <row r="25" spans="1:16" x14ac:dyDescent="0.3">
      <c r="A25" s="1" t="s">
        <v>57</v>
      </c>
      <c r="B25" s="1">
        <f t="shared" si="0"/>
        <v>24</v>
      </c>
      <c r="C25" s="6" t="str">
        <f>IF(COUNTIF(Mac.DE110.Inp!$C25:$L25,"")=10,"","NULL")</f>
        <v>NULL</v>
      </c>
      <c r="D25" s="6" t="str">
        <f>IF(COUNTIF(Mac.DE110.Inp!$C25:$L25,"")=10,"","NULL")</f>
        <v>NULL</v>
      </c>
      <c r="E25" s="6">
        <f>IF(COUNTIF(Mac.DE110.Inp!$C25:$L25,"")=10,"",$B25)</f>
        <v>24</v>
      </c>
      <c r="F25" s="6">
        <f>IF(COUNTIF(Mac.DE110.Inp!$C25:$L25,"")=10,"",IF(Mac.DE110.Inp!$C25="","NULL",Mac.DE110.Inp!$C25))</f>
        <v>684</v>
      </c>
      <c r="G25" s="6">
        <f>IF(COUNTIF(Mac.DE110.Inp!$C25:$L25,"")=10,"",IF(Mac.DE110.Inp!$D25="","NULL",Mac.DE110.Inp!$D25))</f>
        <v>117</v>
      </c>
      <c r="H25" s="6">
        <f>IF(COUNTIF(Mac.DE110.Inp!$C25:$L25,"")=10,"",IF(Mac.DE110.Inp!$E25="","NULL",Mac.DE110.Inp!$E25))</f>
        <v>72</v>
      </c>
      <c r="I25" s="6">
        <f>IF(COUNTIF(Mac.DE110.Inp!$C25:$L25,"")=10,"",IF(Mac.DE110.Inp!$F25="","NULL",Mac.DE110.Inp!$F25))</f>
        <v>69</v>
      </c>
      <c r="J25" s="6" t="str">
        <f>IF(COUNTIF(Mac.DE110.Inp!$C25:$L25,"")=10,"",IF(Mac.DE110.Inp!$G25="","NULL",""""&amp;Mac.DE110.Inp!$G25&amp;""""))</f>
        <v>"O"</v>
      </c>
      <c r="K25" s="6" t="str">
        <f>IF(COUNTIF(Mac.DE110.Inp!$C25:$L25,"")=10,"",IF(Mac.DE110.Inp!$H25="","NULL",""""&amp;Mac.DE110.Inp!$H25&amp;""""))</f>
        <v>"o"</v>
      </c>
      <c r="L25" s="6" t="str">
        <f>IF(COUNTIF(Mac.DE110.Inp!$C25:$L25,"")=10,"",IF(Mac.DE110.Inp!$I25="","NULL",""""&amp;Mac.DE110.Inp!$I25&amp;""""))</f>
        <v>NULL</v>
      </c>
      <c r="M25" s="6" t="str">
        <f>IF(COUNTIF(Mac.DE110.Inp!$C25:$L25,"")=10,"",IF(Mac.DE110.Inp!$J25="","NULL",""""&amp;Mac.DE110.Inp!$J25&amp;""""))</f>
        <v>NULL</v>
      </c>
      <c r="N25" s="6">
        <f>IF(COUNTIF(Mac.DE110.Inp!$C25:$L25,"")=10,"",IF(Mac.DE110.Inp!$K25="","NULL",Mac.DE110.Inp!$K25))</f>
        <v>1</v>
      </c>
      <c r="O25" s="6">
        <f>IF(COUNTIF(Mac.DE110.Inp!$C25:$L25,"")=10,"",IF(Mac.DE110.Inp!$L25="","NULL",Mac.DE110.Inp!$L25))</f>
        <v>0</v>
      </c>
      <c r="P25" s="7" t="str">
        <f>IF(COUNTIF(Mac.DE110.Inp!$C25:$L25,"")=10,"","("&amp;aconcat($C25:$O25,",")&amp;"),")</f>
        <v>(NULL,NULL,24,684,117,72,69,"O","o",NULL,NULL,1,0),</v>
      </c>
    </row>
    <row r="26" spans="1:16" x14ac:dyDescent="0.3">
      <c r="A26" s="1" t="s">
        <v>59</v>
      </c>
      <c r="B26" s="1">
        <f t="shared" si="0"/>
        <v>25</v>
      </c>
      <c r="C26" s="6" t="str">
        <f>IF(COUNTIF(Mac.DE110.Inp!$C26:$L26,"")=10,"","NULL")</f>
        <v>NULL</v>
      </c>
      <c r="D26" s="6" t="str">
        <f>IF(COUNTIF(Mac.DE110.Inp!$C26:$L26,"")=10,"","NULL")</f>
        <v>NULL</v>
      </c>
      <c r="E26" s="6">
        <f>IF(COUNTIF(Mac.DE110.Inp!$C26:$L26,"")=10,"",$B26)</f>
        <v>25</v>
      </c>
      <c r="F26" s="6">
        <f>IF(COUNTIF(Mac.DE110.Inp!$C26:$L26,"")=10,"",IF(Mac.DE110.Inp!$C26="","NULL",Mac.DE110.Inp!$C26))</f>
        <v>756</v>
      </c>
      <c r="G26" s="6">
        <f>IF(COUNTIF(Mac.DE110.Inp!$C26:$L26,"")=10,"",IF(Mac.DE110.Inp!$D26="","NULL",Mac.DE110.Inp!$D26))</f>
        <v>117</v>
      </c>
      <c r="H26" s="6">
        <f>IF(COUNTIF(Mac.DE110.Inp!$C26:$L26,"")=10,"",IF(Mac.DE110.Inp!$E26="","NULL",Mac.DE110.Inp!$E26))</f>
        <v>72</v>
      </c>
      <c r="I26" s="6">
        <f>IF(COUNTIF(Mac.DE110.Inp!$C26:$L26,"")=10,"",IF(Mac.DE110.Inp!$F26="","NULL",Mac.DE110.Inp!$F26))</f>
        <v>69</v>
      </c>
      <c r="J26" s="6" t="str">
        <f>IF(COUNTIF(Mac.DE110.Inp!$C26:$L26,"")=10,"",IF(Mac.DE110.Inp!$G26="","NULL",""""&amp;Mac.DE110.Inp!$G26&amp;""""))</f>
        <v>"P"</v>
      </c>
      <c r="K26" s="6" t="str">
        <f>IF(COUNTIF(Mac.DE110.Inp!$C26:$L26,"")=10,"",IF(Mac.DE110.Inp!$H26="","NULL",""""&amp;Mac.DE110.Inp!$H26&amp;""""))</f>
        <v>"p"</v>
      </c>
      <c r="L26" s="6" t="str">
        <f>IF(COUNTIF(Mac.DE110.Inp!$C26:$L26,"")=10,"",IF(Mac.DE110.Inp!$I26="","NULL",""""&amp;Mac.DE110.Inp!$I26&amp;""""))</f>
        <v>NULL</v>
      </c>
      <c r="M26" s="6" t="str">
        <f>IF(COUNTIF(Mac.DE110.Inp!$C26:$L26,"")=10,"",IF(Mac.DE110.Inp!$J26="","NULL",""""&amp;Mac.DE110.Inp!$J26&amp;""""))</f>
        <v>NULL</v>
      </c>
      <c r="N26" s="6">
        <f>IF(COUNTIF(Mac.DE110.Inp!$C26:$L26,"")=10,"",IF(Mac.DE110.Inp!$K26="","NULL",Mac.DE110.Inp!$K26))</f>
        <v>1</v>
      </c>
      <c r="O26" s="6">
        <f>IF(COUNTIF(Mac.DE110.Inp!$C26:$L26,"")=10,"",IF(Mac.DE110.Inp!$L26="","NULL",Mac.DE110.Inp!$L26))</f>
        <v>0</v>
      </c>
      <c r="P26" s="7" t="str">
        <f>IF(COUNTIF(Mac.DE110.Inp!$C26:$L26,"")=10,"","("&amp;aconcat($C26:$O26,",")&amp;"),")</f>
        <v>(NULL,NULL,25,756,117,72,69,"P","p",NULL,NULL,1,0),</v>
      </c>
    </row>
    <row r="27" spans="1:16" x14ac:dyDescent="0.3">
      <c r="A27" s="1" t="s">
        <v>61</v>
      </c>
      <c r="B27" s="1">
        <f t="shared" si="0"/>
        <v>26</v>
      </c>
      <c r="C27" s="6" t="str">
        <f>IF(COUNTIF(Mac.DE110.Inp!$C27:$L27,"")=10,"","NULL")</f>
        <v>NULL</v>
      </c>
      <c r="D27" s="6" t="str">
        <f>IF(COUNTIF(Mac.DE110.Inp!$C27:$L27,"")=10,"","NULL")</f>
        <v>NULL</v>
      </c>
      <c r="E27" s="6">
        <f>IF(COUNTIF(Mac.DE110.Inp!$C27:$L27,"")=10,"",$B27)</f>
        <v>26</v>
      </c>
      <c r="F27" s="6">
        <f>IF(COUNTIF(Mac.DE110.Inp!$C27:$L27,"")=10,"",IF(Mac.DE110.Inp!$C27="","NULL",Mac.DE110.Inp!$C27))</f>
        <v>828</v>
      </c>
      <c r="G27" s="6">
        <f>IF(COUNTIF(Mac.DE110.Inp!$C27:$L27,"")=10,"",IF(Mac.DE110.Inp!$D27="","NULL",Mac.DE110.Inp!$D27))</f>
        <v>117</v>
      </c>
      <c r="H27" s="6">
        <f>IF(COUNTIF(Mac.DE110.Inp!$C27:$L27,"")=10,"",IF(Mac.DE110.Inp!$E27="","NULL",Mac.DE110.Inp!$E27))</f>
        <v>72</v>
      </c>
      <c r="I27" s="6">
        <f>IF(COUNTIF(Mac.DE110.Inp!$C27:$L27,"")=10,"",IF(Mac.DE110.Inp!$F27="","NULL",Mac.DE110.Inp!$F27))</f>
        <v>69</v>
      </c>
      <c r="J27" s="6" t="str">
        <f>IF(COUNTIF(Mac.DE110.Inp!$C27:$L27,"")=10,"",IF(Mac.DE110.Inp!$G27="","NULL",""""&amp;Mac.DE110.Inp!$G27&amp;""""))</f>
        <v>"Ü"</v>
      </c>
      <c r="K27" s="6" t="str">
        <f>IF(COUNTIF(Mac.DE110.Inp!$C27:$L27,"")=10,"",IF(Mac.DE110.Inp!$H27="","NULL",""""&amp;Mac.DE110.Inp!$H27&amp;""""))</f>
        <v>"ü"</v>
      </c>
      <c r="L27" s="6" t="str">
        <f>IF(COUNTIF(Mac.DE110.Inp!$C27:$L27,"")=10,"",IF(Mac.DE110.Inp!$I27="","NULL",""""&amp;Mac.DE110.Inp!$I27&amp;""""))</f>
        <v>NULL</v>
      </c>
      <c r="M27" s="6" t="str">
        <f>IF(COUNTIF(Mac.DE110.Inp!$C27:$L27,"")=10,"",IF(Mac.DE110.Inp!$J27="","NULL",""""&amp;Mac.DE110.Inp!$J27&amp;""""))</f>
        <v>NULL</v>
      </c>
      <c r="N27" s="6">
        <f>IF(COUNTIF(Mac.DE110.Inp!$C27:$L27,"")=10,"",IF(Mac.DE110.Inp!$K27="","NULL",Mac.DE110.Inp!$K27))</f>
        <v>0</v>
      </c>
      <c r="O27" s="6">
        <f>IF(COUNTIF(Mac.DE110.Inp!$C27:$L27,"")=10,"",IF(Mac.DE110.Inp!$L27="","NULL",Mac.DE110.Inp!$L27))</f>
        <v>0</v>
      </c>
      <c r="P27" s="7" t="str">
        <f>IF(COUNTIF(Mac.DE110.Inp!$C27:$L27,"")=10,"","("&amp;aconcat($C27:$O27,",")&amp;"),")</f>
        <v>(NULL,NULL,26,828,117,72,69,"Ü","ü",NULL,NULL,0,0),</v>
      </c>
    </row>
    <row r="28" spans="1:16" x14ac:dyDescent="0.3">
      <c r="A28" s="1" t="s">
        <v>63</v>
      </c>
      <c r="B28" s="1">
        <f t="shared" si="0"/>
        <v>27</v>
      </c>
      <c r="C28" s="6" t="str">
        <f>IF(COUNTIF(Mac.DE110.Inp!$C28:$L28,"")=10,"","NULL")</f>
        <v>NULL</v>
      </c>
      <c r="D28" s="6" t="str">
        <f>IF(COUNTIF(Mac.DE110.Inp!$C28:$L28,"")=10,"","NULL")</f>
        <v>NULL</v>
      </c>
      <c r="E28" s="6">
        <f>IF(COUNTIF(Mac.DE110.Inp!$C28:$L28,"")=10,"",$B28)</f>
        <v>27</v>
      </c>
      <c r="F28" s="6">
        <f>IF(COUNTIF(Mac.DE110.Inp!$C28:$L28,"")=10,"",IF(Mac.DE110.Inp!$C28="","NULL",Mac.DE110.Inp!$C28))</f>
        <v>900</v>
      </c>
      <c r="G28" s="6">
        <f>IF(COUNTIF(Mac.DE110.Inp!$C28:$L28,"")=10,"",IF(Mac.DE110.Inp!$D28="","NULL",Mac.DE110.Inp!$D28))</f>
        <v>117</v>
      </c>
      <c r="H28" s="6">
        <f>IF(COUNTIF(Mac.DE110.Inp!$C28:$L28,"")=10,"",IF(Mac.DE110.Inp!$E28="","NULL",Mac.DE110.Inp!$E28))</f>
        <v>72</v>
      </c>
      <c r="I28" s="6">
        <f>IF(COUNTIF(Mac.DE110.Inp!$C28:$L28,"")=10,"",IF(Mac.DE110.Inp!$F28="","NULL",Mac.DE110.Inp!$F28))</f>
        <v>69</v>
      </c>
      <c r="J28" s="6" t="str">
        <f>IF(COUNTIF(Mac.DE110.Inp!$C28:$L28,"")=10,"",IF(Mac.DE110.Inp!$G28="","NULL",""""&amp;Mac.DE110.Inp!$G28&amp;""""))</f>
        <v>"*"</v>
      </c>
      <c r="K28" s="6" t="str">
        <f>IF(COUNTIF(Mac.DE110.Inp!$C28:$L28,"")=10,"",IF(Mac.DE110.Inp!$H28="","NULL",""""&amp;Mac.DE110.Inp!$H28&amp;""""))</f>
        <v>"+"</v>
      </c>
      <c r="L28" s="6" t="str">
        <f>IF(COUNTIF(Mac.DE110.Inp!$C28:$L28,"")=10,"",IF(Mac.DE110.Inp!$I28="","NULL",""""&amp;Mac.DE110.Inp!$I28&amp;""""))</f>
        <v>NULL</v>
      </c>
      <c r="M28" s="6" t="str">
        <f>IF(COUNTIF(Mac.DE110.Inp!$C28:$L28,"")=10,"",IF(Mac.DE110.Inp!$J28="","NULL",""""&amp;Mac.DE110.Inp!$J28&amp;""""))</f>
        <v>NULL</v>
      </c>
      <c r="N28" s="6">
        <f>IF(COUNTIF(Mac.DE110.Inp!$C28:$L28,"")=10,"",IF(Mac.DE110.Inp!$K28="","NULL",Mac.DE110.Inp!$K28))</f>
        <v>0</v>
      </c>
      <c r="O28" s="6">
        <f>IF(COUNTIF(Mac.DE110.Inp!$C28:$L28,"")=10,"",IF(Mac.DE110.Inp!$L28="","NULL",Mac.DE110.Inp!$L28))</f>
        <v>0</v>
      </c>
      <c r="P28" s="7" t="str">
        <f>IF(COUNTIF(Mac.DE110.Inp!$C28:$L28,"")=10,"","("&amp;aconcat($C28:$O28,",")&amp;"),")</f>
        <v>(NULL,NULL,27,900,117,72,69,"*","+",NULL,NULL,0,0),</v>
      </c>
    </row>
    <row r="29" spans="1:16" x14ac:dyDescent="0.3">
      <c r="A29" s="1" t="s">
        <v>246</v>
      </c>
      <c r="B29" s="1">
        <f t="shared" si="0"/>
        <v>28</v>
      </c>
      <c r="C29" s="6" t="str">
        <f>IF(COUNTIF(Mac.DE110.Inp!$C29:$L29,"")=10,"","NULL")</f>
        <v/>
      </c>
      <c r="D29" s="6" t="str">
        <f>IF(COUNTIF(Mac.DE110.Inp!$C29:$L29,"")=10,"","NULL")</f>
        <v/>
      </c>
      <c r="E29" s="6" t="str">
        <f>IF(COUNTIF(Mac.DE110.Inp!$C29:$L29,"")=10,"",$B29)</f>
        <v/>
      </c>
      <c r="F29" s="6" t="str">
        <f>IF(COUNTIF(Mac.DE110.Inp!$C29:$L29,"")=10,"",IF(Mac.DE110.Inp!$C29="","NULL",Mac.DE110.Inp!$C29))</f>
        <v/>
      </c>
      <c r="G29" s="6" t="str">
        <f>IF(COUNTIF(Mac.DE110.Inp!$C29:$L29,"")=10,"",IF(Mac.DE110.Inp!$D29="","NULL",Mac.DE110.Inp!$D29))</f>
        <v/>
      </c>
      <c r="H29" s="6" t="str">
        <f>IF(COUNTIF(Mac.DE110.Inp!$C29:$L29,"")=10,"",IF(Mac.DE110.Inp!$E29="","NULL",Mac.DE110.Inp!$E29))</f>
        <v/>
      </c>
      <c r="I29" s="6" t="str">
        <f>IF(COUNTIF(Mac.DE110.Inp!$C29:$L29,"")=10,"",IF(Mac.DE110.Inp!$F29="","NULL",Mac.DE110.Inp!$F29))</f>
        <v/>
      </c>
      <c r="J29" s="6" t="str">
        <f>IF(COUNTIF(Mac.DE110.Inp!$C29:$L29,"")=10,"",IF(Mac.DE110.Inp!$G29="","NULL",""""&amp;Mac.DE110.Inp!$G29&amp;""""))</f>
        <v/>
      </c>
      <c r="K29" s="6" t="str">
        <f>IF(COUNTIF(Mac.DE110.Inp!$C29:$L29,"")=10,"",IF(Mac.DE110.Inp!$H29="","NULL",""""&amp;Mac.DE110.Inp!$H29&amp;""""))</f>
        <v/>
      </c>
      <c r="L29" s="6" t="str">
        <f>IF(COUNTIF(Mac.DE110.Inp!$C29:$L29,"")=10,"",IF(Mac.DE110.Inp!$I29="","NULL",""""&amp;Mac.DE110.Inp!$I29&amp;""""))</f>
        <v/>
      </c>
      <c r="M29" s="6" t="str">
        <f>IF(COUNTIF(Mac.DE110.Inp!$C29:$L29,"")=10,"",IF(Mac.DE110.Inp!$J29="","NULL",""""&amp;Mac.DE110.Inp!$J29&amp;""""))</f>
        <v/>
      </c>
      <c r="N29" s="6" t="str">
        <f>IF(COUNTIF(Mac.DE110.Inp!$C29:$L29,"")=10,"",IF(Mac.DE110.Inp!$K29="","NULL",Mac.DE110.Inp!$K29))</f>
        <v/>
      </c>
      <c r="O29" s="6" t="str">
        <f>IF(COUNTIF(Mac.DE110.Inp!$C29:$L29,"")=10,"",IF(Mac.DE110.Inp!$L29="","NULL",Mac.DE110.Inp!$L29))</f>
        <v/>
      </c>
      <c r="P29" s="7" t="str">
        <f>IF(COUNTIF(Mac.DE110.Inp!$C29:$L29,"")=10,"","("&amp;aconcat($C29:$O29,",")&amp;"),")</f>
        <v/>
      </c>
    </row>
    <row r="30" spans="1:16" x14ac:dyDescent="0.3">
      <c r="A30" s="1" t="s">
        <v>65</v>
      </c>
      <c r="B30" s="1">
        <f t="shared" si="0"/>
        <v>29</v>
      </c>
      <c r="C30" s="6" t="str">
        <f>IF(COUNTIF(Mac.DE110.Inp!$C30:$L30,"")=10,"","NULL")</f>
        <v>NULL</v>
      </c>
      <c r="D30" s="6" t="str">
        <f>IF(COUNTIF(Mac.DE110.Inp!$C30:$L30,"")=10,"","NULL")</f>
        <v>NULL</v>
      </c>
      <c r="E30" s="6">
        <f>IF(COUNTIF(Mac.DE110.Inp!$C30:$L30,"")=10,"",$B30)</f>
        <v>29</v>
      </c>
      <c r="F30" s="6">
        <f>IF(COUNTIF(Mac.DE110.Inp!$C30:$L30,"")=10,"",IF(Mac.DE110.Inp!$C30="","NULL",Mac.DE110.Inp!$C30))</f>
        <v>0</v>
      </c>
      <c r="G30" s="6">
        <f>IF(COUNTIF(Mac.DE110.Inp!$C30:$L30,"")=10,"",IF(Mac.DE110.Inp!$D30="","NULL",Mac.DE110.Inp!$D30))</f>
        <v>186</v>
      </c>
      <c r="H30" s="6">
        <f>IF(COUNTIF(Mac.DE110.Inp!$C30:$L30,"")=10,"",IF(Mac.DE110.Inp!$E30="","NULL",Mac.DE110.Inp!$E30))</f>
        <v>126</v>
      </c>
      <c r="I30" s="6">
        <f>IF(COUNTIF(Mac.DE110.Inp!$C30:$L30,"")=10,"",IF(Mac.DE110.Inp!$F30="","NULL",Mac.DE110.Inp!$F30))</f>
        <v>69</v>
      </c>
      <c r="J30" s="6" t="str">
        <f>IF(COUNTIF(Mac.DE110.Inp!$C30:$L30,"")=10,"",IF(Mac.DE110.Inp!$G30="","NULL",""""&amp;Mac.DE110.Inp!$G30&amp;""""))</f>
        <v>NULL</v>
      </c>
      <c r="K30" s="6" t="str">
        <f>IF(COUNTIF(Mac.DE110.Inp!$C30:$L30,"")=10,"",IF(Mac.DE110.Inp!$H30="","NULL",""""&amp;Mac.DE110.Inp!$H30&amp;""""))</f>
        <v>"Feststell"</v>
      </c>
      <c r="L30" s="6" t="str">
        <f>IF(COUNTIF(Mac.DE110.Inp!$C30:$L30,"")=10,"",IF(Mac.DE110.Inp!$I30="","NULL",""""&amp;Mac.DE110.Inp!$I30&amp;""""))</f>
        <v>NULL</v>
      </c>
      <c r="M30" s="6" t="str">
        <f>IF(COUNTIF(Mac.DE110.Inp!$C30:$L30,"")=10,"",IF(Mac.DE110.Inp!$J30="","NULL",""""&amp;Mac.DE110.Inp!$J30&amp;""""))</f>
        <v>NULL</v>
      </c>
      <c r="N30" s="6">
        <f>IF(COUNTIF(Mac.DE110.Inp!$C30:$L30,"")=10,"",IF(Mac.DE110.Inp!$K30="","NULL",Mac.DE110.Inp!$K30))</f>
        <v>0</v>
      </c>
      <c r="O30" s="6">
        <f>IF(COUNTIF(Mac.DE110.Inp!$C30:$L30,"")=10,"",IF(Mac.DE110.Inp!$L30="","NULL",Mac.DE110.Inp!$L30))</f>
        <v>0</v>
      </c>
      <c r="P30" s="7" t="str">
        <f>IF(COUNTIF(Mac.DE110.Inp!$C30:$L30,"")=10,"","("&amp;aconcat($C30:$O30,",")&amp;"),")</f>
        <v>(NULL,NULL,29,0,186,126,69,NULL,"Feststell",NULL,NULL,0,0),</v>
      </c>
    </row>
    <row r="31" spans="1:16" x14ac:dyDescent="0.3">
      <c r="A31" s="1" t="s">
        <v>67</v>
      </c>
      <c r="B31" s="1">
        <f t="shared" si="0"/>
        <v>30</v>
      </c>
      <c r="C31" s="6" t="str">
        <f>IF(COUNTIF(Mac.DE110.Inp!$C31:$L31,"")=10,"","NULL")</f>
        <v>NULL</v>
      </c>
      <c r="D31" s="6" t="str">
        <f>IF(COUNTIF(Mac.DE110.Inp!$C31:$L31,"")=10,"","NULL")</f>
        <v>NULL</v>
      </c>
      <c r="E31" s="6">
        <f>IF(COUNTIF(Mac.DE110.Inp!$C31:$L31,"")=10,"",$B31)</f>
        <v>30</v>
      </c>
      <c r="F31" s="6">
        <f>IF(COUNTIF(Mac.DE110.Inp!$C31:$L31,"")=10,"",IF(Mac.DE110.Inp!$C31="","NULL",Mac.DE110.Inp!$C31))</f>
        <v>126</v>
      </c>
      <c r="G31" s="6">
        <f>IF(COUNTIF(Mac.DE110.Inp!$C31:$L31,"")=10,"",IF(Mac.DE110.Inp!$D31="","NULL",Mac.DE110.Inp!$D31))</f>
        <v>186</v>
      </c>
      <c r="H31" s="6">
        <f>IF(COUNTIF(Mac.DE110.Inp!$C31:$L31,"")=10,"",IF(Mac.DE110.Inp!$E31="","NULL",Mac.DE110.Inp!$E31))</f>
        <v>72</v>
      </c>
      <c r="I31" s="6">
        <f>IF(COUNTIF(Mac.DE110.Inp!$C31:$L31,"")=10,"",IF(Mac.DE110.Inp!$F31="","NULL",Mac.DE110.Inp!$F31))</f>
        <v>69</v>
      </c>
      <c r="J31" s="6" t="str">
        <f>IF(COUNTIF(Mac.DE110.Inp!$C31:$L31,"")=10,"",IF(Mac.DE110.Inp!$G31="","NULL",""""&amp;Mac.DE110.Inp!$G31&amp;""""))</f>
        <v>"A"</v>
      </c>
      <c r="K31" s="6" t="str">
        <f>IF(COUNTIF(Mac.DE110.Inp!$C31:$L31,"")=10,"",IF(Mac.DE110.Inp!$H31="","NULL",""""&amp;Mac.DE110.Inp!$H31&amp;""""))</f>
        <v>"a"</v>
      </c>
      <c r="L31" s="6" t="str">
        <f>IF(COUNTIF(Mac.DE110.Inp!$C31:$L31,"")=10,"",IF(Mac.DE110.Inp!$I31="","NULL",""""&amp;Mac.DE110.Inp!$I31&amp;""""))</f>
        <v>NULL</v>
      </c>
      <c r="M31" s="6" t="str">
        <f>IF(COUNTIF(Mac.DE110.Inp!$C31:$L31,"")=10,"",IF(Mac.DE110.Inp!$J31="","NULL",""""&amp;Mac.DE110.Inp!$J31&amp;""""))</f>
        <v>NULL</v>
      </c>
      <c r="N31" s="6">
        <f>IF(COUNTIF(Mac.DE110.Inp!$C31:$L31,"")=10,"",IF(Mac.DE110.Inp!$K31="","NULL",Mac.DE110.Inp!$K31))</f>
        <v>1</v>
      </c>
      <c r="O31" s="6">
        <f>IF(COUNTIF(Mac.DE110.Inp!$C31:$L31,"")=10,"",IF(Mac.DE110.Inp!$L31="","NULL",Mac.DE110.Inp!$L31))</f>
        <v>0</v>
      </c>
      <c r="P31" s="7" t="str">
        <f>IF(COUNTIF(Mac.DE110.Inp!$C31:$L31,"")=10,"","("&amp;aconcat($C31:$O31,",")&amp;"),")</f>
        <v>(NULL,NULL,30,126,186,72,69,"A","a",NULL,NULL,1,0),</v>
      </c>
    </row>
    <row r="32" spans="1:16" x14ac:dyDescent="0.3">
      <c r="A32" s="1" t="s">
        <v>69</v>
      </c>
      <c r="B32" s="1">
        <f t="shared" si="0"/>
        <v>31</v>
      </c>
      <c r="C32" s="6" t="str">
        <f>IF(COUNTIF(Mac.DE110.Inp!$C32:$L32,"")=10,"","NULL")</f>
        <v>NULL</v>
      </c>
      <c r="D32" s="6" t="str">
        <f>IF(COUNTIF(Mac.DE110.Inp!$C32:$L32,"")=10,"","NULL")</f>
        <v>NULL</v>
      </c>
      <c r="E32" s="6">
        <f>IF(COUNTIF(Mac.DE110.Inp!$C32:$L32,"")=10,"",$B32)</f>
        <v>31</v>
      </c>
      <c r="F32" s="6">
        <f>IF(COUNTIF(Mac.DE110.Inp!$C32:$L32,"")=10,"",IF(Mac.DE110.Inp!$C32="","NULL",Mac.DE110.Inp!$C32))</f>
        <v>198</v>
      </c>
      <c r="G32" s="6">
        <f>IF(COUNTIF(Mac.DE110.Inp!$C32:$L32,"")=10,"",IF(Mac.DE110.Inp!$D32="","NULL",Mac.DE110.Inp!$D32))</f>
        <v>186</v>
      </c>
      <c r="H32" s="6">
        <f>IF(COUNTIF(Mac.DE110.Inp!$C32:$L32,"")=10,"",IF(Mac.DE110.Inp!$E32="","NULL",Mac.DE110.Inp!$E32))</f>
        <v>72</v>
      </c>
      <c r="I32" s="6">
        <f>IF(COUNTIF(Mac.DE110.Inp!$C32:$L32,"")=10,"",IF(Mac.DE110.Inp!$F32="","NULL",Mac.DE110.Inp!$F32))</f>
        <v>69</v>
      </c>
      <c r="J32" s="6" t="str">
        <f>IF(COUNTIF(Mac.DE110.Inp!$C32:$L32,"")=10,"",IF(Mac.DE110.Inp!$G32="","NULL",""""&amp;Mac.DE110.Inp!$G32&amp;""""))</f>
        <v>"S"</v>
      </c>
      <c r="K32" s="6" t="str">
        <f>IF(COUNTIF(Mac.DE110.Inp!$C32:$L32,"")=10,"",IF(Mac.DE110.Inp!$H32="","NULL",""""&amp;Mac.DE110.Inp!$H32&amp;""""))</f>
        <v>"s"</v>
      </c>
      <c r="L32" s="6" t="str">
        <f>IF(COUNTIF(Mac.DE110.Inp!$C32:$L32,"")=10,"",IF(Mac.DE110.Inp!$I32="","NULL",""""&amp;Mac.DE110.Inp!$I32&amp;""""))</f>
        <v>NULL</v>
      </c>
      <c r="M32" s="6" t="str">
        <f>IF(COUNTIF(Mac.DE110.Inp!$C32:$L32,"")=10,"",IF(Mac.DE110.Inp!$J32="","NULL",""""&amp;Mac.DE110.Inp!$J32&amp;""""))</f>
        <v>NULL</v>
      </c>
      <c r="N32" s="6">
        <f>IF(COUNTIF(Mac.DE110.Inp!$C32:$L32,"")=10,"",IF(Mac.DE110.Inp!$K32="","NULL",Mac.DE110.Inp!$K32))</f>
        <v>1</v>
      </c>
      <c r="O32" s="6">
        <f>IF(COUNTIF(Mac.DE110.Inp!$C32:$L32,"")=10,"",IF(Mac.DE110.Inp!$L32="","NULL",Mac.DE110.Inp!$L32))</f>
        <v>0</v>
      </c>
      <c r="P32" s="7" t="str">
        <f>IF(COUNTIF(Mac.DE110.Inp!$C32:$L32,"")=10,"","("&amp;aconcat($C32:$O32,",")&amp;"),")</f>
        <v>(NULL,NULL,31,198,186,72,69,"S","s",NULL,NULL,1,0),</v>
      </c>
    </row>
    <row r="33" spans="1:16" x14ac:dyDescent="0.3">
      <c r="A33" s="1" t="s">
        <v>71</v>
      </c>
      <c r="B33" s="1">
        <f t="shared" si="0"/>
        <v>32</v>
      </c>
      <c r="C33" s="6" t="str">
        <f>IF(COUNTIF(Mac.DE110.Inp!$C33:$L33,"")=10,"","NULL")</f>
        <v>NULL</v>
      </c>
      <c r="D33" s="6" t="str">
        <f>IF(COUNTIF(Mac.DE110.Inp!$C33:$L33,"")=10,"","NULL")</f>
        <v>NULL</v>
      </c>
      <c r="E33" s="6">
        <f>IF(COUNTIF(Mac.DE110.Inp!$C33:$L33,"")=10,"",$B33)</f>
        <v>32</v>
      </c>
      <c r="F33" s="6">
        <f>IF(COUNTIF(Mac.DE110.Inp!$C33:$L33,"")=10,"",IF(Mac.DE110.Inp!$C33="","NULL",Mac.DE110.Inp!$C33))</f>
        <v>270</v>
      </c>
      <c r="G33" s="6">
        <f>IF(COUNTIF(Mac.DE110.Inp!$C33:$L33,"")=10,"",IF(Mac.DE110.Inp!$D33="","NULL",Mac.DE110.Inp!$D33))</f>
        <v>186</v>
      </c>
      <c r="H33" s="6">
        <f>IF(COUNTIF(Mac.DE110.Inp!$C33:$L33,"")=10,"",IF(Mac.DE110.Inp!$E33="","NULL",Mac.DE110.Inp!$E33))</f>
        <v>72</v>
      </c>
      <c r="I33" s="6">
        <f>IF(COUNTIF(Mac.DE110.Inp!$C33:$L33,"")=10,"",IF(Mac.DE110.Inp!$F33="","NULL",Mac.DE110.Inp!$F33))</f>
        <v>69</v>
      </c>
      <c r="J33" s="6" t="str">
        <f>IF(COUNTIF(Mac.DE110.Inp!$C33:$L33,"")=10,"",IF(Mac.DE110.Inp!$G33="","NULL",""""&amp;Mac.DE110.Inp!$G33&amp;""""))</f>
        <v>"D"</v>
      </c>
      <c r="K33" s="6" t="str">
        <f>IF(COUNTIF(Mac.DE110.Inp!$C33:$L33,"")=10,"",IF(Mac.DE110.Inp!$H33="","NULL",""""&amp;Mac.DE110.Inp!$H33&amp;""""))</f>
        <v>"d"</v>
      </c>
      <c r="L33" s="6" t="str">
        <f>IF(COUNTIF(Mac.DE110.Inp!$C33:$L33,"")=10,"",IF(Mac.DE110.Inp!$I33="","NULL",""""&amp;Mac.DE110.Inp!$I33&amp;""""))</f>
        <v>NULL</v>
      </c>
      <c r="M33" s="6" t="str">
        <f>IF(COUNTIF(Mac.DE110.Inp!$C33:$L33,"")=10,"",IF(Mac.DE110.Inp!$J33="","NULL",""""&amp;Mac.DE110.Inp!$J33&amp;""""))</f>
        <v>NULL</v>
      </c>
      <c r="N33" s="6">
        <f>IF(COUNTIF(Mac.DE110.Inp!$C33:$L33,"")=10,"",IF(Mac.DE110.Inp!$K33="","NULL",Mac.DE110.Inp!$K33))</f>
        <v>1</v>
      </c>
      <c r="O33" s="6">
        <f>IF(COUNTIF(Mac.DE110.Inp!$C33:$L33,"")=10,"",IF(Mac.DE110.Inp!$L33="","NULL",Mac.DE110.Inp!$L33))</f>
        <v>0</v>
      </c>
      <c r="P33" s="7" t="str">
        <f>IF(COUNTIF(Mac.DE110.Inp!$C33:$L33,"")=10,"","("&amp;aconcat($C33:$O33,",")&amp;"),")</f>
        <v>(NULL,NULL,32,270,186,72,69,"D","d",NULL,NULL,1,0),</v>
      </c>
    </row>
    <row r="34" spans="1:16" x14ac:dyDescent="0.3">
      <c r="A34" s="1" t="s">
        <v>73</v>
      </c>
      <c r="B34" s="1">
        <f t="shared" si="0"/>
        <v>33</v>
      </c>
      <c r="C34" s="6" t="str">
        <f>IF(COUNTIF(Mac.DE110.Inp!$C34:$L34,"")=10,"","NULL")</f>
        <v>NULL</v>
      </c>
      <c r="D34" s="6" t="str">
        <f>IF(COUNTIF(Mac.DE110.Inp!$C34:$L34,"")=10,"","NULL")</f>
        <v>NULL</v>
      </c>
      <c r="E34" s="6">
        <f>IF(COUNTIF(Mac.DE110.Inp!$C34:$L34,"")=10,"",$B34)</f>
        <v>33</v>
      </c>
      <c r="F34" s="6">
        <f>IF(COUNTIF(Mac.DE110.Inp!$C34:$L34,"")=10,"",IF(Mac.DE110.Inp!$C34="","NULL",Mac.DE110.Inp!$C34))</f>
        <v>342</v>
      </c>
      <c r="G34" s="6">
        <f>IF(COUNTIF(Mac.DE110.Inp!$C34:$L34,"")=10,"",IF(Mac.DE110.Inp!$D34="","NULL",Mac.DE110.Inp!$D34))</f>
        <v>186</v>
      </c>
      <c r="H34" s="6">
        <f>IF(COUNTIF(Mac.DE110.Inp!$C34:$L34,"")=10,"",IF(Mac.DE110.Inp!$E34="","NULL",Mac.DE110.Inp!$E34))</f>
        <v>72</v>
      </c>
      <c r="I34" s="6">
        <f>IF(COUNTIF(Mac.DE110.Inp!$C34:$L34,"")=10,"",IF(Mac.DE110.Inp!$F34="","NULL",Mac.DE110.Inp!$F34))</f>
        <v>69</v>
      </c>
      <c r="J34" s="6" t="str">
        <f>IF(COUNTIF(Mac.DE110.Inp!$C34:$L34,"")=10,"",IF(Mac.DE110.Inp!$G34="","NULL",""""&amp;Mac.DE110.Inp!$G34&amp;""""))</f>
        <v>"F"</v>
      </c>
      <c r="K34" s="6" t="str">
        <f>IF(COUNTIF(Mac.DE110.Inp!$C34:$L34,"")=10,"",IF(Mac.DE110.Inp!$H34="","NULL",""""&amp;Mac.DE110.Inp!$H34&amp;""""))</f>
        <v>"f"</v>
      </c>
      <c r="L34" s="6" t="str">
        <f>IF(COUNTIF(Mac.DE110.Inp!$C34:$L34,"")=10,"",IF(Mac.DE110.Inp!$I34="","NULL",""""&amp;Mac.DE110.Inp!$I34&amp;""""))</f>
        <v>NULL</v>
      </c>
      <c r="M34" s="6" t="str">
        <f>IF(COUNTIF(Mac.DE110.Inp!$C34:$L34,"")=10,"",IF(Mac.DE110.Inp!$J34="","NULL",""""&amp;Mac.DE110.Inp!$J34&amp;""""))</f>
        <v>NULL</v>
      </c>
      <c r="N34" s="6">
        <f>IF(COUNTIF(Mac.DE110.Inp!$C34:$L34,"")=10,"",IF(Mac.DE110.Inp!$K34="","NULL",Mac.DE110.Inp!$K34))</f>
        <v>1</v>
      </c>
      <c r="O34" s="6">
        <f>IF(COUNTIF(Mac.DE110.Inp!$C34:$L34,"")=10,"",IF(Mac.DE110.Inp!$L34="","NULL",Mac.DE110.Inp!$L34))</f>
        <v>0</v>
      </c>
      <c r="P34" s="7" t="str">
        <f>IF(COUNTIF(Mac.DE110.Inp!$C34:$L34,"")=10,"","("&amp;aconcat($C34:$O34,",")&amp;"),")</f>
        <v>(NULL,NULL,33,342,186,72,69,"F","f",NULL,NULL,1,0),</v>
      </c>
    </row>
    <row r="35" spans="1:16" x14ac:dyDescent="0.3">
      <c r="A35" s="1" t="s">
        <v>75</v>
      </c>
      <c r="B35" s="1">
        <f t="shared" si="0"/>
        <v>34</v>
      </c>
      <c r="C35" s="6" t="str">
        <f>IF(COUNTIF(Mac.DE110.Inp!$C35:$L35,"")=10,"","NULL")</f>
        <v>NULL</v>
      </c>
      <c r="D35" s="6" t="str">
        <f>IF(COUNTIF(Mac.DE110.Inp!$C35:$L35,"")=10,"","NULL")</f>
        <v>NULL</v>
      </c>
      <c r="E35" s="6">
        <f>IF(COUNTIF(Mac.DE110.Inp!$C35:$L35,"")=10,"",$B35)</f>
        <v>34</v>
      </c>
      <c r="F35" s="6">
        <f>IF(COUNTIF(Mac.DE110.Inp!$C35:$L35,"")=10,"",IF(Mac.DE110.Inp!$C35="","NULL",Mac.DE110.Inp!$C35))</f>
        <v>414</v>
      </c>
      <c r="G35" s="6">
        <f>IF(COUNTIF(Mac.DE110.Inp!$C35:$L35,"")=10,"",IF(Mac.DE110.Inp!$D35="","NULL",Mac.DE110.Inp!$D35))</f>
        <v>186</v>
      </c>
      <c r="H35" s="6">
        <f>IF(COUNTIF(Mac.DE110.Inp!$C35:$L35,"")=10,"",IF(Mac.DE110.Inp!$E35="","NULL",Mac.DE110.Inp!$E35))</f>
        <v>72</v>
      </c>
      <c r="I35" s="6">
        <f>IF(COUNTIF(Mac.DE110.Inp!$C35:$L35,"")=10,"",IF(Mac.DE110.Inp!$F35="","NULL",Mac.DE110.Inp!$F35))</f>
        <v>69</v>
      </c>
      <c r="J35" s="6" t="str">
        <f>IF(COUNTIF(Mac.DE110.Inp!$C35:$L35,"")=10,"",IF(Mac.DE110.Inp!$G35="","NULL",""""&amp;Mac.DE110.Inp!$G35&amp;""""))</f>
        <v>"G"</v>
      </c>
      <c r="K35" s="6" t="str">
        <f>IF(COUNTIF(Mac.DE110.Inp!$C35:$L35,"")=10,"",IF(Mac.DE110.Inp!$H35="","NULL",""""&amp;Mac.DE110.Inp!$H35&amp;""""))</f>
        <v>"g"</v>
      </c>
      <c r="L35" s="6" t="str">
        <f>IF(COUNTIF(Mac.DE110.Inp!$C35:$L35,"")=10,"",IF(Mac.DE110.Inp!$I35="","NULL",""""&amp;Mac.DE110.Inp!$I35&amp;""""))</f>
        <v>NULL</v>
      </c>
      <c r="M35" s="6" t="str">
        <f>IF(COUNTIF(Mac.DE110.Inp!$C35:$L35,"")=10,"",IF(Mac.DE110.Inp!$J35="","NULL",""""&amp;Mac.DE110.Inp!$J35&amp;""""))</f>
        <v>NULL</v>
      </c>
      <c r="N35" s="6">
        <f>IF(COUNTIF(Mac.DE110.Inp!$C35:$L35,"")=10,"",IF(Mac.DE110.Inp!$K35="","NULL",Mac.DE110.Inp!$K35))</f>
        <v>1</v>
      </c>
      <c r="O35" s="6">
        <f>IF(COUNTIF(Mac.DE110.Inp!$C35:$L35,"")=10,"",IF(Mac.DE110.Inp!$L35="","NULL",Mac.DE110.Inp!$L35))</f>
        <v>0</v>
      </c>
      <c r="P35" s="7" t="str">
        <f>IF(COUNTIF(Mac.DE110.Inp!$C35:$L35,"")=10,"","("&amp;aconcat($C35:$O35,",")&amp;"),")</f>
        <v>(NULL,NULL,34,414,186,72,69,"G","g",NULL,NULL,1,0),</v>
      </c>
    </row>
    <row r="36" spans="1:16" x14ac:dyDescent="0.3">
      <c r="A36" s="1" t="s">
        <v>77</v>
      </c>
      <c r="B36" s="1">
        <f t="shared" si="0"/>
        <v>35</v>
      </c>
      <c r="C36" s="6" t="str">
        <f>IF(COUNTIF(Mac.DE110.Inp!$C36:$L36,"")=10,"","NULL")</f>
        <v>NULL</v>
      </c>
      <c r="D36" s="6" t="str">
        <f>IF(COUNTIF(Mac.DE110.Inp!$C36:$L36,"")=10,"","NULL")</f>
        <v>NULL</v>
      </c>
      <c r="E36" s="6">
        <f>IF(COUNTIF(Mac.DE110.Inp!$C36:$L36,"")=10,"",$B36)</f>
        <v>35</v>
      </c>
      <c r="F36" s="6">
        <f>IF(COUNTIF(Mac.DE110.Inp!$C36:$L36,"")=10,"",IF(Mac.DE110.Inp!$C36="","NULL",Mac.DE110.Inp!$C36))</f>
        <v>486</v>
      </c>
      <c r="G36" s="6">
        <f>IF(COUNTIF(Mac.DE110.Inp!$C36:$L36,"")=10,"",IF(Mac.DE110.Inp!$D36="","NULL",Mac.DE110.Inp!$D36))</f>
        <v>186</v>
      </c>
      <c r="H36" s="6">
        <f>IF(COUNTIF(Mac.DE110.Inp!$C36:$L36,"")=10,"",IF(Mac.DE110.Inp!$E36="","NULL",Mac.DE110.Inp!$E36))</f>
        <v>72</v>
      </c>
      <c r="I36" s="6">
        <f>IF(COUNTIF(Mac.DE110.Inp!$C36:$L36,"")=10,"",IF(Mac.DE110.Inp!$F36="","NULL",Mac.DE110.Inp!$F36))</f>
        <v>69</v>
      </c>
      <c r="J36" s="6" t="str">
        <f>IF(COUNTIF(Mac.DE110.Inp!$C36:$L36,"")=10,"",IF(Mac.DE110.Inp!$G36="","NULL",""""&amp;Mac.DE110.Inp!$G36&amp;""""))</f>
        <v>"H"</v>
      </c>
      <c r="K36" s="6" t="str">
        <f>IF(COUNTIF(Mac.DE110.Inp!$C36:$L36,"")=10,"",IF(Mac.DE110.Inp!$H36="","NULL",""""&amp;Mac.DE110.Inp!$H36&amp;""""))</f>
        <v>"h"</v>
      </c>
      <c r="L36" s="6" t="str">
        <f>IF(COUNTIF(Mac.DE110.Inp!$C36:$L36,"")=10,"",IF(Mac.DE110.Inp!$I36="","NULL",""""&amp;Mac.DE110.Inp!$I36&amp;""""))</f>
        <v>NULL</v>
      </c>
      <c r="M36" s="6" t="str">
        <f>IF(COUNTIF(Mac.DE110.Inp!$C36:$L36,"")=10,"",IF(Mac.DE110.Inp!$J36="","NULL",""""&amp;Mac.DE110.Inp!$J36&amp;""""))</f>
        <v>NULL</v>
      </c>
      <c r="N36" s="6">
        <f>IF(COUNTIF(Mac.DE110.Inp!$C36:$L36,"")=10,"",IF(Mac.DE110.Inp!$K36="","NULL",Mac.DE110.Inp!$K36))</f>
        <v>1</v>
      </c>
      <c r="O36" s="6">
        <f>IF(COUNTIF(Mac.DE110.Inp!$C36:$L36,"")=10,"",IF(Mac.DE110.Inp!$L36="","NULL",Mac.DE110.Inp!$L36))</f>
        <v>0</v>
      </c>
      <c r="P36" s="7" t="str">
        <f>IF(COUNTIF(Mac.DE110.Inp!$C36:$L36,"")=10,"","("&amp;aconcat($C36:$O36,",")&amp;"),")</f>
        <v>(NULL,NULL,35,486,186,72,69,"H","h",NULL,NULL,1,0),</v>
      </c>
    </row>
    <row r="37" spans="1:16" x14ac:dyDescent="0.3">
      <c r="A37" s="1" t="s">
        <v>79</v>
      </c>
      <c r="B37" s="1">
        <f t="shared" si="0"/>
        <v>36</v>
      </c>
      <c r="C37" s="6" t="str">
        <f>IF(COUNTIF(Mac.DE110.Inp!$C37:$L37,"")=10,"","NULL")</f>
        <v>NULL</v>
      </c>
      <c r="D37" s="6" t="str">
        <f>IF(COUNTIF(Mac.DE110.Inp!$C37:$L37,"")=10,"","NULL")</f>
        <v>NULL</v>
      </c>
      <c r="E37" s="6">
        <f>IF(COUNTIF(Mac.DE110.Inp!$C37:$L37,"")=10,"",$B37)</f>
        <v>36</v>
      </c>
      <c r="F37" s="6">
        <f>IF(COUNTIF(Mac.DE110.Inp!$C37:$L37,"")=10,"",IF(Mac.DE110.Inp!$C37="","NULL",Mac.DE110.Inp!$C37))</f>
        <v>558</v>
      </c>
      <c r="G37" s="6">
        <f>IF(COUNTIF(Mac.DE110.Inp!$C37:$L37,"")=10,"",IF(Mac.DE110.Inp!$D37="","NULL",Mac.DE110.Inp!$D37))</f>
        <v>186</v>
      </c>
      <c r="H37" s="6">
        <f>IF(COUNTIF(Mac.DE110.Inp!$C37:$L37,"")=10,"",IF(Mac.DE110.Inp!$E37="","NULL",Mac.DE110.Inp!$E37))</f>
        <v>72</v>
      </c>
      <c r="I37" s="6">
        <f>IF(COUNTIF(Mac.DE110.Inp!$C37:$L37,"")=10,"",IF(Mac.DE110.Inp!$F37="","NULL",Mac.DE110.Inp!$F37))</f>
        <v>69</v>
      </c>
      <c r="J37" s="6" t="str">
        <f>IF(COUNTIF(Mac.DE110.Inp!$C37:$L37,"")=10,"",IF(Mac.DE110.Inp!$G37="","NULL",""""&amp;Mac.DE110.Inp!$G37&amp;""""))</f>
        <v>"J"</v>
      </c>
      <c r="K37" s="6" t="str">
        <f>IF(COUNTIF(Mac.DE110.Inp!$C37:$L37,"")=10,"",IF(Mac.DE110.Inp!$H37="","NULL",""""&amp;Mac.DE110.Inp!$H37&amp;""""))</f>
        <v>"j"</v>
      </c>
      <c r="L37" s="6" t="str">
        <f>IF(COUNTIF(Mac.DE110.Inp!$C37:$L37,"")=10,"",IF(Mac.DE110.Inp!$I37="","NULL",""""&amp;Mac.DE110.Inp!$I37&amp;""""))</f>
        <v>NULL</v>
      </c>
      <c r="M37" s="6" t="str">
        <f>IF(COUNTIF(Mac.DE110.Inp!$C37:$L37,"")=10,"",IF(Mac.DE110.Inp!$J37="","NULL",""""&amp;Mac.DE110.Inp!$J37&amp;""""))</f>
        <v>NULL</v>
      </c>
      <c r="N37" s="6">
        <f>IF(COUNTIF(Mac.DE110.Inp!$C37:$L37,"")=10,"",IF(Mac.DE110.Inp!$K37="","NULL",Mac.DE110.Inp!$K37))</f>
        <v>1</v>
      </c>
      <c r="O37" s="6">
        <f>IF(COUNTIF(Mac.DE110.Inp!$C37:$L37,"")=10,"",IF(Mac.DE110.Inp!$L37="","NULL",Mac.DE110.Inp!$L37))</f>
        <v>0</v>
      </c>
      <c r="P37" s="7" t="str">
        <f>IF(COUNTIF(Mac.DE110.Inp!$C37:$L37,"")=10,"","("&amp;aconcat($C37:$O37,",")&amp;"),")</f>
        <v>(NULL,NULL,36,558,186,72,69,"J","j",NULL,NULL,1,0),</v>
      </c>
    </row>
    <row r="38" spans="1:16" x14ac:dyDescent="0.3">
      <c r="A38" s="1" t="s">
        <v>81</v>
      </c>
      <c r="B38" s="1">
        <f t="shared" si="0"/>
        <v>37</v>
      </c>
      <c r="C38" s="6" t="str">
        <f>IF(COUNTIF(Mac.DE110.Inp!$C38:$L38,"")=10,"","NULL")</f>
        <v>NULL</v>
      </c>
      <c r="D38" s="6" t="str">
        <f>IF(COUNTIF(Mac.DE110.Inp!$C38:$L38,"")=10,"","NULL")</f>
        <v>NULL</v>
      </c>
      <c r="E38" s="6">
        <f>IF(COUNTIF(Mac.DE110.Inp!$C38:$L38,"")=10,"",$B38)</f>
        <v>37</v>
      </c>
      <c r="F38" s="6">
        <f>IF(COUNTIF(Mac.DE110.Inp!$C38:$L38,"")=10,"",IF(Mac.DE110.Inp!$C38="","NULL",Mac.DE110.Inp!$C38))</f>
        <v>630</v>
      </c>
      <c r="G38" s="6">
        <f>IF(COUNTIF(Mac.DE110.Inp!$C38:$L38,"")=10,"",IF(Mac.DE110.Inp!$D38="","NULL",Mac.DE110.Inp!$D38))</f>
        <v>186</v>
      </c>
      <c r="H38" s="6">
        <f>IF(COUNTIF(Mac.DE110.Inp!$C38:$L38,"")=10,"",IF(Mac.DE110.Inp!$E38="","NULL",Mac.DE110.Inp!$E38))</f>
        <v>72</v>
      </c>
      <c r="I38" s="6">
        <f>IF(COUNTIF(Mac.DE110.Inp!$C38:$L38,"")=10,"",IF(Mac.DE110.Inp!$F38="","NULL",Mac.DE110.Inp!$F38))</f>
        <v>69</v>
      </c>
      <c r="J38" s="6" t="str">
        <f>IF(COUNTIF(Mac.DE110.Inp!$C38:$L38,"")=10,"",IF(Mac.DE110.Inp!$G38="","NULL",""""&amp;Mac.DE110.Inp!$G38&amp;""""))</f>
        <v>"K"</v>
      </c>
      <c r="K38" s="6" t="str">
        <f>IF(COUNTIF(Mac.DE110.Inp!$C38:$L38,"")=10,"",IF(Mac.DE110.Inp!$H38="","NULL",""""&amp;Mac.DE110.Inp!$H38&amp;""""))</f>
        <v>"k"</v>
      </c>
      <c r="L38" s="6" t="str">
        <f>IF(COUNTIF(Mac.DE110.Inp!$C38:$L38,"")=10,"",IF(Mac.DE110.Inp!$I38="","NULL",""""&amp;Mac.DE110.Inp!$I38&amp;""""))</f>
        <v>NULL</v>
      </c>
      <c r="M38" s="6" t="str">
        <f>IF(COUNTIF(Mac.DE110.Inp!$C38:$L38,"")=10,"",IF(Mac.DE110.Inp!$J38="","NULL",""""&amp;Mac.DE110.Inp!$J38&amp;""""))</f>
        <v>NULL</v>
      </c>
      <c r="N38" s="6">
        <f>IF(COUNTIF(Mac.DE110.Inp!$C38:$L38,"")=10,"",IF(Mac.DE110.Inp!$K38="","NULL",Mac.DE110.Inp!$K38))</f>
        <v>1</v>
      </c>
      <c r="O38" s="6">
        <f>IF(COUNTIF(Mac.DE110.Inp!$C38:$L38,"")=10,"",IF(Mac.DE110.Inp!$L38="","NULL",Mac.DE110.Inp!$L38))</f>
        <v>0</v>
      </c>
      <c r="P38" s="7" t="str">
        <f>IF(COUNTIF(Mac.DE110.Inp!$C38:$L38,"")=10,"","("&amp;aconcat($C38:$O38,",")&amp;"),")</f>
        <v>(NULL,NULL,37,630,186,72,69,"K","k",NULL,NULL,1,0),</v>
      </c>
    </row>
    <row r="39" spans="1:16" x14ac:dyDescent="0.3">
      <c r="A39" s="1" t="s">
        <v>83</v>
      </c>
      <c r="B39" s="1">
        <f t="shared" si="0"/>
        <v>38</v>
      </c>
      <c r="C39" s="6" t="str">
        <f>IF(COUNTIF(Mac.DE110.Inp!$C39:$L39,"")=10,"","NULL")</f>
        <v>NULL</v>
      </c>
      <c r="D39" s="6" t="str">
        <f>IF(COUNTIF(Mac.DE110.Inp!$C39:$L39,"")=10,"","NULL")</f>
        <v>NULL</v>
      </c>
      <c r="E39" s="6">
        <f>IF(COUNTIF(Mac.DE110.Inp!$C39:$L39,"")=10,"",$B39)</f>
        <v>38</v>
      </c>
      <c r="F39" s="6">
        <f>IF(COUNTIF(Mac.DE110.Inp!$C39:$L39,"")=10,"",IF(Mac.DE110.Inp!$C39="","NULL",Mac.DE110.Inp!$C39))</f>
        <v>702</v>
      </c>
      <c r="G39" s="6">
        <f>IF(COUNTIF(Mac.DE110.Inp!$C39:$L39,"")=10,"",IF(Mac.DE110.Inp!$D39="","NULL",Mac.DE110.Inp!$D39))</f>
        <v>186</v>
      </c>
      <c r="H39" s="6">
        <f>IF(COUNTIF(Mac.DE110.Inp!$C39:$L39,"")=10,"",IF(Mac.DE110.Inp!$E39="","NULL",Mac.DE110.Inp!$E39))</f>
        <v>72</v>
      </c>
      <c r="I39" s="6">
        <f>IF(COUNTIF(Mac.DE110.Inp!$C39:$L39,"")=10,"",IF(Mac.DE110.Inp!$F39="","NULL",Mac.DE110.Inp!$F39))</f>
        <v>69</v>
      </c>
      <c r="J39" s="6" t="str">
        <f>IF(COUNTIF(Mac.DE110.Inp!$C39:$L39,"")=10,"",IF(Mac.DE110.Inp!$G39="","NULL",""""&amp;Mac.DE110.Inp!$G39&amp;""""))</f>
        <v>"L"</v>
      </c>
      <c r="K39" s="6" t="str">
        <f>IF(COUNTIF(Mac.DE110.Inp!$C39:$L39,"")=10,"",IF(Mac.DE110.Inp!$H39="","NULL",""""&amp;Mac.DE110.Inp!$H39&amp;""""))</f>
        <v>"l"</v>
      </c>
      <c r="L39" s="6" t="str">
        <f>IF(COUNTIF(Mac.DE110.Inp!$C39:$L39,"")=10,"",IF(Mac.DE110.Inp!$I39="","NULL",""""&amp;Mac.DE110.Inp!$I39&amp;""""))</f>
        <v>NULL</v>
      </c>
      <c r="M39" s="6" t="str">
        <f>IF(COUNTIF(Mac.DE110.Inp!$C39:$L39,"")=10,"",IF(Mac.DE110.Inp!$J39="","NULL",""""&amp;Mac.DE110.Inp!$J39&amp;""""))</f>
        <v>"@"</v>
      </c>
      <c r="N39" s="6">
        <f>IF(COUNTIF(Mac.DE110.Inp!$C39:$L39,"")=10,"",IF(Mac.DE110.Inp!$K39="","NULL",Mac.DE110.Inp!$K39))</f>
        <v>1</v>
      </c>
      <c r="O39" s="6">
        <f>IF(COUNTIF(Mac.DE110.Inp!$C39:$L39,"")=10,"",IF(Mac.DE110.Inp!$L39="","NULL",Mac.DE110.Inp!$L39))</f>
        <v>0</v>
      </c>
      <c r="P39" s="7" t="str">
        <f>IF(COUNTIF(Mac.DE110.Inp!$C39:$L39,"")=10,"","("&amp;aconcat($C39:$O39,",")&amp;"),")</f>
        <v>(NULL,NULL,38,702,186,72,69,"L","l",NULL,"@",1,0),</v>
      </c>
    </row>
    <row r="40" spans="1:16" x14ac:dyDescent="0.3">
      <c r="A40" s="1" t="s">
        <v>85</v>
      </c>
      <c r="B40" s="1">
        <f t="shared" si="0"/>
        <v>39</v>
      </c>
      <c r="C40" s="6" t="str">
        <f>IF(COUNTIF(Mac.DE110.Inp!$C40:$L40,"")=10,"","NULL")</f>
        <v>NULL</v>
      </c>
      <c r="D40" s="6" t="str">
        <f>IF(COUNTIF(Mac.DE110.Inp!$C40:$L40,"")=10,"","NULL")</f>
        <v>NULL</v>
      </c>
      <c r="E40" s="6">
        <f>IF(COUNTIF(Mac.DE110.Inp!$C40:$L40,"")=10,"",$B40)</f>
        <v>39</v>
      </c>
      <c r="F40" s="6">
        <f>IF(COUNTIF(Mac.DE110.Inp!$C40:$L40,"")=10,"",IF(Mac.DE110.Inp!$C40="","NULL",Mac.DE110.Inp!$C40))</f>
        <v>774</v>
      </c>
      <c r="G40" s="6">
        <f>IF(COUNTIF(Mac.DE110.Inp!$C40:$L40,"")=10,"",IF(Mac.DE110.Inp!$D40="","NULL",Mac.DE110.Inp!$D40))</f>
        <v>186</v>
      </c>
      <c r="H40" s="6">
        <f>IF(COUNTIF(Mac.DE110.Inp!$C40:$L40,"")=10,"",IF(Mac.DE110.Inp!$E40="","NULL",Mac.DE110.Inp!$E40))</f>
        <v>72</v>
      </c>
      <c r="I40" s="6">
        <f>IF(COUNTIF(Mac.DE110.Inp!$C40:$L40,"")=10,"",IF(Mac.DE110.Inp!$F40="","NULL",Mac.DE110.Inp!$F40))</f>
        <v>69</v>
      </c>
      <c r="J40" s="6" t="str">
        <f>IF(COUNTIF(Mac.DE110.Inp!$C40:$L40,"")=10,"",IF(Mac.DE110.Inp!$G40="","NULL",""""&amp;Mac.DE110.Inp!$G40&amp;""""))</f>
        <v>"Ö"</v>
      </c>
      <c r="K40" s="6" t="str">
        <f>IF(COUNTIF(Mac.DE110.Inp!$C40:$L40,"")=10,"",IF(Mac.DE110.Inp!$H40="","NULL",""""&amp;Mac.DE110.Inp!$H40&amp;""""))</f>
        <v>"ö"</v>
      </c>
      <c r="L40" s="6" t="str">
        <f>IF(COUNTIF(Mac.DE110.Inp!$C40:$L40,"")=10,"",IF(Mac.DE110.Inp!$I40="","NULL",""""&amp;Mac.DE110.Inp!$I40&amp;""""))</f>
        <v>NULL</v>
      </c>
      <c r="M40" s="6" t="str">
        <f>IF(COUNTIF(Mac.DE110.Inp!$C40:$L40,"")=10,"",IF(Mac.DE110.Inp!$J40="","NULL",""""&amp;Mac.DE110.Inp!$J40&amp;""""))</f>
        <v>NULL</v>
      </c>
      <c r="N40" s="6">
        <f>IF(COUNTIF(Mac.DE110.Inp!$C40:$L40,"")=10,"",IF(Mac.DE110.Inp!$K40="","NULL",Mac.DE110.Inp!$K40))</f>
        <v>0</v>
      </c>
      <c r="O40" s="6">
        <f>IF(COUNTIF(Mac.DE110.Inp!$C40:$L40,"")=10,"",IF(Mac.DE110.Inp!$L40="","NULL",Mac.DE110.Inp!$L40))</f>
        <v>0</v>
      </c>
      <c r="P40" s="7" t="str">
        <f>IF(COUNTIF(Mac.DE110.Inp!$C40:$L40,"")=10,"","("&amp;aconcat($C40:$O40,",")&amp;"),")</f>
        <v>(NULL,NULL,39,774,186,72,69,"Ö","ö",NULL,NULL,0,0),</v>
      </c>
    </row>
    <row r="41" spans="1:16" x14ac:dyDescent="0.3">
      <c r="A41" s="1" t="s">
        <v>87</v>
      </c>
      <c r="B41" s="1">
        <f t="shared" si="0"/>
        <v>40</v>
      </c>
      <c r="C41" s="6" t="str">
        <f>IF(COUNTIF(Mac.DE110.Inp!$C41:$L41,"")=10,"","NULL")</f>
        <v>NULL</v>
      </c>
      <c r="D41" s="6" t="str">
        <f>IF(COUNTIF(Mac.DE110.Inp!$C41:$L41,"")=10,"","NULL")</f>
        <v>NULL</v>
      </c>
      <c r="E41" s="6">
        <f>IF(COUNTIF(Mac.DE110.Inp!$C41:$L41,"")=10,"",$B41)</f>
        <v>40</v>
      </c>
      <c r="F41" s="6">
        <f>IF(COUNTIF(Mac.DE110.Inp!$C41:$L41,"")=10,"",IF(Mac.DE110.Inp!$C41="","NULL",Mac.DE110.Inp!$C41))</f>
        <v>846</v>
      </c>
      <c r="G41" s="6">
        <f>IF(COUNTIF(Mac.DE110.Inp!$C41:$L41,"")=10,"",IF(Mac.DE110.Inp!$D41="","NULL",Mac.DE110.Inp!$D41))</f>
        <v>186</v>
      </c>
      <c r="H41" s="6">
        <f>IF(COUNTIF(Mac.DE110.Inp!$C41:$L41,"")=10,"",IF(Mac.DE110.Inp!$E41="","NULL",Mac.DE110.Inp!$E41))</f>
        <v>72</v>
      </c>
      <c r="I41" s="6">
        <f>IF(COUNTIF(Mac.DE110.Inp!$C41:$L41,"")=10,"",IF(Mac.DE110.Inp!$F41="","NULL",Mac.DE110.Inp!$F41))</f>
        <v>69</v>
      </c>
      <c r="J41" s="6" t="str">
        <f>IF(COUNTIF(Mac.DE110.Inp!$C41:$L41,"")=10,"",IF(Mac.DE110.Inp!$G41="","NULL",""""&amp;Mac.DE110.Inp!$G41&amp;""""))</f>
        <v>"Ä"</v>
      </c>
      <c r="K41" s="6" t="str">
        <f>IF(COUNTIF(Mac.DE110.Inp!$C41:$L41,"")=10,"",IF(Mac.DE110.Inp!$H41="","NULL",""""&amp;Mac.DE110.Inp!$H41&amp;""""))</f>
        <v>"ä"</v>
      </c>
      <c r="L41" s="6" t="str">
        <f>IF(COUNTIF(Mac.DE110.Inp!$C41:$L41,"")=10,"",IF(Mac.DE110.Inp!$I41="","NULL",""""&amp;Mac.DE110.Inp!$I41&amp;""""))</f>
        <v>NULL</v>
      </c>
      <c r="M41" s="6" t="str">
        <f>IF(COUNTIF(Mac.DE110.Inp!$C41:$L41,"")=10,"",IF(Mac.DE110.Inp!$J41="","NULL",""""&amp;Mac.DE110.Inp!$J41&amp;""""))</f>
        <v>NULL</v>
      </c>
      <c r="N41" s="6">
        <f>IF(COUNTIF(Mac.DE110.Inp!$C41:$L41,"")=10,"",IF(Mac.DE110.Inp!$K41="","NULL",Mac.DE110.Inp!$K41))</f>
        <v>0</v>
      </c>
      <c r="O41" s="6">
        <f>IF(COUNTIF(Mac.DE110.Inp!$C41:$L41,"")=10,"",IF(Mac.DE110.Inp!$L41="","NULL",Mac.DE110.Inp!$L41))</f>
        <v>0</v>
      </c>
      <c r="P41" s="7" t="str">
        <f>IF(COUNTIF(Mac.DE110.Inp!$C41:$L41,"")=10,"","("&amp;aconcat($C41:$O41,",")&amp;"),")</f>
        <v>(NULL,NULL,40,846,186,72,69,"Ä","ä",NULL,NULL,0,0),</v>
      </c>
    </row>
    <row r="42" spans="1:16" x14ac:dyDescent="0.3">
      <c r="A42" s="1" t="s">
        <v>16</v>
      </c>
      <c r="B42" s="1">
        <f t="shared" si="0"/>
        <v>41</v>
      </c>
      <c r="C42" s="6" t="str">
        <f>IF(COUNTIF(Mac.DE110.Inp!$C42:$L42,"")=10,"","NULL")</f>
        <v>NULL</v>
      </c>
      <c r="D42" s="6" t="str">
        <f>IF(COUNTIF(Mac.DE110.Inp!$C42:$L42,"")=10,"","NULL")</f>
        <v>NULL</v>
      </c>
      <c r="E42" s="6">
        <f>IF(COUNTIF(Mac.DE110.Inp!$C42:$L42,"")=10,"",$B42)</f>
        <v>41</v>
      </c>
      <c r="F42" s="6">
        <f>IF(COUNTIF(Mac.DE110.Inp!$C42:$L42,"")=10,"",IF(Mac.DE110.Inp!$C42="","NULL",Mac.DE110.Inp!$C42))</f>
        <v>918</v>
      </c>
      <c r="G42" s="6">
        <f>IF(COUNTIF(Mac.DE110.Inp!$C42:$L42,"")=10,"",IF(Mac.DE110.Inp!$D42="","NULL",Mac.DE110.Inp!$D42))</f>
        <v>186</v>
      </c>
      <c r="H42" s="6">
        <f>IF(COUNTIF(Mac.DE110.Inp!$C42:$L42,"")=10,"",IF(Mac.DE110.Inp!$E42="","NULL",Mac.DE110.Inp!$E42))</f>
        <v>72</v>
      </c>
      <c r="I42" s="6">
        <f>IF(COUNTIF(Mac.DE110.Inp!$C42:$L42,"")=10,"",IF(Mac.DE110.Inp!$F42="","NULL",Mac.DE110.Inp!$F42))</f>
        <v>69</v>
      </c>
      <c r="J42" s="8" t="str">
        <f>IF(COUNTIF(Mac.DE110.Inp!$C42:$L42,"")=10,"",IF(Mac.DE110.Inp!$G42="","NULL",""""&amp;Mac.DE110.Inp!$G42&amp;""""))</f>
        <v>"\'"</v>
      </c>
      <c r="K42" s="6" t="str">
        <f>IF(COUNTIF(Mac.DE110.Inp!$C42:$L42,"")=10,"",IF(Mac.DE110.Inp!$H42="","NULL",""""&amp;Mac.DE110.Inp!$H42&amp;""""))</f>
        <v>"#"</v>
      </c>
      <c r="L42" s="6" t="str">
        <f>IF(COUNTIF(Mac.DE110.Inp!$C42:$L42,"")=10,"",IF(Mac.DE110.Inp!$I42="","NULL",""""&amp;Mac.DE110.Inp!$I42&amp;""""))</f>
        <v>NULL</v>
      </c>
      <c r="M42" s="6" t="str">
        <f>IF(COUNTIF(Mac.DE110.Inp!$C42:$L42,"")=10,"",IF(Mac.DE110.Inp!$J42="","NULL",""""&amp;Mac.DE110.Inp!$J42&amp;""""))</f>
        <v>NULL</v>
      </c>
      <c r="N42" s="6">
        <f>IF(COUNTIF(Mac.DE110.Inp!$C42:$L42,"")=10,"",IF(Mac.DE110.Inp!$K42="","NULL",Mac.DE110.Inp!$K42))</f>
        <v>0</v>
      </c>
      <c r="O42" s="6">
        <f>IF(COUNTIF(Mac.DE110.Inp!$C42:$L42,"")=10,"",IF(Mac.DE110.Inp!$L42="","NULL",Mac.DE110.Inp!$L42))</f>
        <v>0</v>
      </c>
      <c r="P42" s="7" t="str">
        <f>IF(COUNTIF(Mac.DE110.Inp!$C42:$L42,"")=10,"","("&amp;aconcat($C42:$O42,",")&amp;"),")</f>
        <v>(NULL,NULL,41,918,186,72,69,"\'","#",NULL,NULL,0,0),</v>
      </c>
    </row>
    <row r="43" spans="1:16" x14ac:dyDescent="0.3">
      <c r="A43" s="1" t="s">
        <v>89</v>
      </c>
      <c r="B43" s="1">
        <f t="shared" si="0"/>
        <v>42</v>
      </c>
      <c r="C43" s="6" t="str">
        <f>IF(COUNTIF(Mac.DE110.Inp!$C43:$L43,"")=10,"","NULL")</f>
        <v>NULL</v>
      </c>
      <c r="D43" s="6" t="str">
        <f>IF(COUNTIF(Mac.DE110.Inp!$C43:$L43,"")=10,"","NULL")</f>
        <v>NULL</v>
      </c>
      <c r="E43" s="6">
        <f>IF(COUNTIF(Mac.DE110.Inp!$C43:$L43,"")=10,"",$B43)</f>
        <v>42</v>
      </c>
      <c r="F43" s="6" t="str">
        <f>IF(COUNTIF(Mac.DE110.Inp!$C43:$L43,"")=10,"",IF(Mac.DE110.Inp!$C43="","NULL",Mac.DE110.Inp!$C43))</f>
        <v>990</v>
      </c>
      <c r="G43" s="6">
        <f>IF(COUNTIF(Mac.DE110.Inp!$C43:$L43,"")=10,"",IF(Mac.DE110.Inp!$D43="","NULL",Mac.DE110.Inp!$D43))</f>
        <v>186</v>
      </c>
      <c r="H43" s="6" t="str">
        <f>IF(COUNTIF(Mac.DE110.Inp!$C43:$L43,"")=10,"",IF(Mac.DE110.Inp!$E43="","NULL",Mac.DE110.Inp!$E43))</f>
        <v>54</v>
      </c>
      <c r="I43" s="6">
        <f>IF(COUNTIF(Mac.DE110.Inp!$C43:$L43,"")=10,"",IF(Mac.DE110.Inp!$F43="","NULL",Mac.DE110.Inp!$F43))</f>
        <v>69</v>
      </c>
      <c r="J43" s="6" t="str">
        <f>IF(COUNTIF(Mac.DE110.Inp!$C43:$L43,"")=10,"",IF(Mac.DE110.Inp!$G43="","NULL",""""&amp;Mac.DE110.Inp!$G43&amp;""""))</f>
        <v>NULL</v>
      </c>
      <c r="K43" s="6" t="str">
        <f>IF(COUNTIF(Mac.DE110.Inp!$C43:$L43,"")=10,"",IF(Mac.DE110.Inp!$H43="","NULL",""""&amp;Mac.DE110.Inp!$H43&amp;""""))</f>
        <v>"Eingeben"</v>
      </c>
      <c r="L43" s="6" t="str">
        <f>IF(COUNTIF(Mac.DE110.Inp!$C43:$L43,"")=10,"",IF(Mac.DE110.Inp!$I43="","NULL",""""&amp;Mac.DE110.Inp!$I43&amp;""""))</f>
        <v>NULL</v>
      </c>
      <c r="M43" s="6" t="str">
        <f>IF(COUNTIF(Mac.DE110.Inp!$C43:$L43,"")=10,"",IF(Mac.DE110.Inp!$J43="","NULL",""""&amp;Mac.DE110.Inp!$J43&amp;""""))</f>
        <v>NULL</v>
      </c>
      <c r="N43" s="6">
        <f>IF(COUNTIF(Mac.DE110.Inp!$C43:$L43,"")=10,"",IF(Mac.DE110.Inp!$K43="","NULL",Mac.DE110.Inp!$K43))</f>
        <v>0</v>
      </c>
      <c r="O43" s="6">
        <f>IF(COUNTIF(Mac.DE110.Inp!$C43:$L43,"")=10,"",IF(Mac.DE110.Inp!$L43="","NULL",Mac.DE110.Inp!$L43))</f>
        <v>0</v>
      </c>
      <c r="P43" s="7" t="str">
        <f>IF(COUNTIF(Mac.DE110.Inp!$C43:$L43,"")=10,"","("&amp;aconcat($C43:$O43,",")&amp;"),")</f>
        <v>(NULL,NULL,42,990,186,54,69,NULL,"Eingeben",NULL,NULL,0,0),</v>
      </c>
    </row>
    <row r="44" spans="1:16" x14ac:dyDescent="0.3">
      <c r="A44" s="1" t="s">
        <v>90</v>
      </c>
      <c r="B44" s="1">
        <f t="shared" si="0"/>
        <v>43</v>
      </c>
      <c r="C44" s="6" t="str">
        <f>IF(COUNTIF(Mac.DE110.Inp!$C44:$L44,"")=10,"","NULL")</f>
        <v>NULL</v>
      </c>
      <c r="D44" s="6" t="str">
        <f>IF(COUNTIF(Mac.DE110.Inp!$C44:$L44,"")=10,"","NULL")</f>
        <v>NULL</v>
      </c>
      <c r="E44" s="6">
        <f>IF(COUNTIF(Mac.DE110.Inp!$C44:$L44,"")=10,"",$B44)</f>
        <v>43</v>
      </c>
      <c r="F44" s="6">
        <f>IF(COUNTIF(Mac.DE110.Inp!$C44:$L44,"")=10,"",IF(Mac.DE110.Inp!$C44="","NULL",Mac.DE110.Inp!$C44))</f>
        <v>0</v>
      </c>
      <c r="G44" s="6">
        <f>IF(COUNTIF(Mac.DE110.Inp!$C44:$L44,"")=10,"",IF(Mac.DE110.Inp!$D44="","NULL",Mac.DE110.Inp!$D44))</f>
        <v>255</v>
      </c>
      <c r="H44" s="6">
        <f>IF(COUNTIF(Mac.DE110.Inp!$C44:$L44,"")=10,"",IF(Mac.DE110.Inp!$E44="","NULL",Mac.DE110.Inp!$E44))</f>
        <v>162</v>
      </c>
      <c r="I44" s="6">
        <f>IF(COUNTIF(Mac.DE110.Inp!$C44:$L44,"")=10,"",IF(Mac.DE110.Inp!$F44="","NULL",Mac.DE110.Inp!$F44))</f>
        <v>69</v>
      </c>
      <c r="J44" s="6" t="str">
        <f>IF(COUNTIF(Mac.DE110.Inp!$C44:$L44,"")=10,"",IF(Mac.DE110.Inp!$G44="","NULL",""""&amp;Mac.DE110.Inp!$G44&amp;""""))</f>
        <v>NULL</v>
      </c>
      <c r="K44" s="6" t="str">
        <f>IF(COUNTIF(Mac.DE110.Inp!$C44:$L44,"")=10,"",IF(Mac.DE110.Inp!$H44="","NULL",""""&amp;Mac.DE110.Inp!$H44&amp;""""))</f>
        <v>"LUmschalt"</v>
      </c>
      <c r="L44" s="6" t="str">
        <f>IF(COUNTIF(Mac.DE110.Inp!$C44:$L44,"")=10,"",IF(Mac.DE110.Inp!$I44="","NULL",""""&amp;Mac.DE110.Inp!$I44&amp;""""))</f>
        <v>NULL</v>
      </c>
      <c r="M44" s="6" t="str">
        <f>IF(COUNTIF(Mac.DE110.Inp!$C44:$L44,"")=10,"",IF(Mac.DE110.Inp!$J44="","NULL",""""&amp;Mac.DE110.Inp!$J44&amp;""""))</f>
        <v>NULL</v>
      </c>
      <c r="N44" s="6">
        <f>IF(COUNTIF(Mac.DE110.Inp!$C44:$L44,"")=10,"",IF(Mac.DE110.Inp!$K44="","NULL",Mac.DE110.Inp!$K44))</f>
        <v>0</v>
      </c>
      <c r="O44" s="6">
        <f>IF(COUNTIF(Mac.DE110.Inp!$C44:$L44,"")=10,"",IF(Mac.DE110.Inp!$L44="","NULL",Mac.DE110.Inp!$L44))</f>
        <v>0</v>
      </c>
      <c r="P44" s="7" t="str">
        <f>IF(COUNTIF(Mac.DE110.Inp!$C44:$L44,"")=10,"","("&amp;aconcat($C44:$O44,",")&amp;"),")</f>
        <v>(NULL,NULL,43,0,255,162,69,NULL,"LUmschalt",NULL,NULL,0,0),</v>
      </c>
    </row>
    <row r="45" spans="1:16" x14ac:dyDescent="0.3">
      <c r="A45" s="1" t="s">
        <v>92</v>
      </c>
      <c r="B45" s="1">
        <f t="shared" si="0"/>
        <v>44</v>
      </c>
      <c r="C45" s="6" t="str">
        <f>IF(COUNTIF(Mac.DE110.Inp!$C45:$L45,"")=10,"","NULL")</f>
        <v>NULL</v>
      </c>
      <c r="D45" s="6" t="str">
        <f>IF(COUNTIF(Mac.DE110.Inp!$C45:$L45,"")=10,"","NULL")</f>
        <v>NULL</v>
      </c>
      <c r="E45" s="6">
        <f>IF(COUNTIF(Mac.DE110.Inp!$C45:$L45,"")=10,"",$B45)</f>
        <v>44</v>
      </c>
      <c r="F45" s="6">
        <f>IF(COUNTIF(Mac.DE110.Inp!$C45:$L45,"")=10,"",IF(Mac.DE110.Inp!$C45="","NULL",Mac.DE110.Inp!$C45))</f>
        <v>162</v>
      </c>
      <c r="G45" s="6">
        <f>IF(COUNTIF(Mac.DE110.Inp!$C45:$L45,"")=10,"",IF(Mac.DE110.Inp!$D45="","NULL",Mac.DE110.Inp!$D45))</f>
        <v>255</v>
      </c>
      <c r="H45" s="6">
        <f>IF(COUNTIF(Mac.DE110.Inp!$C45:$L45,"")=10,"",IF(Mac.DE110.Inp!$E45="","NULL",Mac.DE110.Inp!$E45))</f>
        <v>72</v>
      </c>
      <c r="I45" s="6">
        <f>IF(COUNTIF(Mac.DE110.Inp!$C45:$L45,"")=10,"",IF(Mac.DE110.Inp!$F45="","NULL",Mac.DE110.Inp!$F45))</f>
        <v>69</v>
      </c>
      <c r="J45" s="6" t="str">
        <f>IF(COUNTIF(Mac.DE110.Inp!$C45:$L45,"")=10,"",IF(Mac.DE110.Inp!$G45="","NULL",""""&amp;Mac.DE110.Inp!$G45&amp;""""))</f>
        <v>"&gt;"</v>
      </c>
      <c r="K45" s="6" t="str">
        <f>IF(COUNTIF(Mac.DE110.Inp!$C45:$L45,"")=10,"",IF(Mac.DE110.Inp!$H45="","NULL",""""&amp;Mac.DE110.Inp!$H45&amp;""""))</f>
        <v>"&lt;"</v>
      </c>
      <c r="L45" s="6" t="str">
        <f>IF(COUNTIF(Mac.DE110.Inp!$C45:$L45,"")=10,"",IF(Mac.DE110.Inp!$I45="","NULL",""""&amp;Mac.DE110.Inp!$I45&amp;""""))</f>
        <v>NULL</v>
      </c>
      <c r="M45" s="6" t="str">
        <f>IF(COUNTIF(Mac.DE110.Inp!$C45:$L45,"")=10,"",IF(Mac.DE110.Inp!$J45="","NULL",""""&amp;Mac.DE110.Inp!$J45&amp;""""))</f>
        <v>NULL</v>
      </c>
      <c r="N45" s="6">
        <f>IF(COUNTIF(Mac.DE110.Inp!$C45:$L45,"")=10,"",IF(Mac.DE110.Inp!$K45="","NULL",Mac.DE110.Inp!$K45))</f>
        <v>1</v>
      </c>
      <c r="O45" s="6">
        <f>IF(COUNTIF(Mac.DE110.Inp!$C45:$L45,"")=10,"",IF(Mac.DE110.Inp!$L45="","NULL",Mac.DE110.Inp!$L45))</f>
        <v>0</v>
      </c>
      <c r="P45" s="7" t="str">
        <f>IF(COUNTIF(Mac.DE110.Inp!$C45:$L45,"")=10,"","("&amp;aconcat($C45:$O45,",")&amp;"),")</f>
        <v>(NULL,NULL,44,162,255,72,69,"&gt;","&lt;",NULL,NULL,1,0),</v>
      </c>
    </row>
    <row r="46" spans="1:16" x14ac:dyDescent="0.3">
      <c r="A46" s="1" t="s">
        <v>95</v>
      </c>
      <c r="B46" s="1">
        <f t="shared" si="0"/>
        <v>45</v>
      </c>
      <c r="C46" s="6" t="str">
        <f>IF(COUNTIF(Mac.DE110.Inp!$C46:$L46,"")=10,"","NULL")</f>
        <v>NULL</v>
      </c>
      <c r="D46" s="6" t="str">
        <f>IF(COUNTIF(Mac.DE110.Inp!$C46:$L46,"")=10,"","NULL")</f>
        <v>NULL</v>
      </c>
      <c r="E46" s="6">
        <f>IF(COUNTIF(Mac.DE110.Inp!$C46:$L46,"")=10,"",$B46)</f>
        <v>45</v>
      </c>
      <c r="F46" s="6">
        <f>IF(COUNTIF(Mac.DE110.Inp!$C46:$L46,"")=10,"",IF(Mac.DE110.Inp!$C46="","NULL",Mac.DE110.Inp!$C46))</f>
        <v>234</v>
      </c>
      <c r="G46" s="6">
        <f>IF(COUNTIF(Mac.DE110.Inp!$C46:$L46,"")=10,"",IF(Mac.DE110.Inp!$D46="","NULL",Mac.DE110.Inp!$D46))</f>
        <v>255</v>
      </c>
      <c r="H46" s="6">
        <f>IF(COUNTIF(Mac.DE110.Inp!$C46:$L46,"")=10,"",IF(Mac.DE110.Inp!$E46="","NULL",Mac.DE110.Inp!$E46))</f>
        <v>72</v>
      </c>
      <c r="I46" s="6">
        <f>IF(COUNTIF(Mac.DE110.Inp!$C46:$L46,"")=10,"",IF(Mac.DE110.Inp!$F46="","NULL",Mac.DE110.Inp!$F46))</f>
        <v>69</v>
      </c>
      <c r="J46" s="6" t="str">
        <f>IF(COUNTIF(Mac.DE110.Inp!$C46:$L46,"")=10,"",IF(Mac.DE110.Inp!$G46="","NULL",""""&amp;Mac.DE110.Inp!$G46&amp;""""))</f>
        <v>"Y"</v>
      </c>
      <c r="K46" s="6" t="str">
        <f>IF(COUNTIF(Mac.DE110.Inp!$C46:$L46,"")=10,"",IF(Mac.DE110.Inp!$H46="","NULL",""""&amp;Mac.DE110.Inp!$H46&amp;""""))</f>
        <v>"y"</v>
      </c>
      <c r="L46" s="6" t="str">
        <f>IF(COUNTIF(Mac.DE110.Inp!$C46:$L46,"")=10,"",IF(Mac.DE110.Inp!$I46="","NULL",""""&amp;Mac.DE110.Inp!$I46&amp;""""))</f>
        <v>NULL</v>
      </c>
      <c r="M46" s="6" t="str">
        <f>IF(COUNTIF(Mac.DE110.Inp!$C46:$L46,"")=10,"",IF(Mac.DE110.Inp!$J46="","NULL",""""&amp;Mac.DE110.Inp!$J46&amp;""""))</f>
        <v>NULL</v>
      </c>
      <c r="N46" s="6">
        <f>IF(COUNTIF(Mac.DE110.Inp!$C46:$L46,"")=10,"",IF(Mac.DE110.Inp!$K46="","NULL",Mac.DE110.Inp!$K46))</f>
        <v>1</v>
      </c>
      <c r="O46" s="6">
        <f>IF(COUNTIF(Mac.DE110.Inp!$C46:$L46,"")=10,"",IF(Mac.DE110.Inp!$L46="","NULL",Mac.DE110.Inp!$L46))</f>
        <v>0</v>
      </c>
      <c r="P46" s="7" t="str">
        <f>IF(COUNTIF(Mac.DE110.Inp!$C46:$L46,"")=10,"","("&amp;aconcat($C46:$O46,",")&amp;"),")</f>
        <v>(NULL,NULL,45,234,255,72,69,"Y","y",NULL,NULL,1,0),</v>
      </c>
    </row>
    <row r="47" spans="1:16" x14ac:dyDescent="0.3">
      <c r="A47" s="1" t="s">
        <v>97</v>
      </c>
      <c r="B47" s="1">
        <f t="shared" si="0"/>
        <v>46</v>
      </c>
      <c r="C47" s="6" t="str">
        <f>IF(COUNTIF(Mac.DE110.Inp!$C47:$L47,"")=10,"","NULL")</f>
        <v>NULL</v>
      </c>
      <c r="D47" s="6" t="str">
        <f>IF(COUNTIF(Mac.DE110.Inp!$C47:$L47,"")=10,"","NULL")</f>
        <v>NULL</v>
      </c>
      <c r="E47" s="6">
        <f>IF(COUNTIF(Mac.DE110.Inp!$C47:$L47,"")=10,"",$B47)</f>
        <v>46</v>
      </c>
      <c r="F47" s="6">
        <f>IF(COUNTIF(Mac.DE110.Inp!$C47:$L47,"")=10,"",IF(Mac.DE110.Inp!$C47="","NULL",Mac.DE110.Inp!$C47))</f>
        <v>306</v>
      </c>
      <c r="G47" s="6">
        <f>IF(COUNTIF(Mac.DE110.Inp!$C47:$L47,"")=10,"",IF(Mac.DE110.Inp!$D47="","NULL",Mac.DE110.Inp!$D47))</f>
        <v>255</v>
      </c>
      <c r="H47" s="6">
        <f>IF(COUNTIF(Mac.DE110.Inp!$C47:$L47,"")=10,"",IF(Mac.DE110.Inp!$E47="","NULL",Mac.DE110.Inp!$E47))</f>
        <v>72</v>
      </c>
      <c r="I47" s="6">
        <f>IF(COUNTIF(Mac.DE110.Inp!$C47:$L47,"")=10,"",IF(Mac.DE110.Inp!$F47="","NULL",Mac.DE110.Inp!$F47))</f>
        <v>69</v>
      </c>
      <c r="J47" s="6" t="str">
        <f>IF(COUNTIF(Mac.DE110.Inp!$C47:$L47,"")=10,"",IF(Mac.DE110.Inp!$G47="","NULL",""""&amp;Mac.DE110.Inp!$G47&amp;""""))</f>
        <v>"X"</v>
      </c>
      <c r="K47" s="6" t="str">
        <f>IF(COUNTIF(Mac.DE110.Inp!$C47:$L47,"")=10,"",IF(Mac.DE110.Inp!$H47="","NULL",""""&amp;Mac.DE110.Inp!$H47&amp;""""))</f>
        <v>"x"</v>
      </c>
      <c r="L47" s="6" t="str">
        <f>IF(COUNTIF(Mac.DE110.Inp!$C47:$L47,"")=10,"",IF(Mac.DE110.Inp!$I47="","NULL",""""&amp;Mac.DE110.Inp!$I47&amp;""""))</f>
        <v>NULL</v>
      </c>
      <c r="M47" s="6" t="str">
        <f>IF(COUNTIF(Mac.DE110.Inp!$C47:$L47,"")=10,"",IF(Mac.DE110.Inp!$J47="","NULL",""""&amp;Mac.DE110.Inp!$J47&amp;""""))</f>
        <v>NULL</v>
      </c>
      <c r="N47" s="6">
        <f>IF(COUNTIF(Mac.DE110.Inp!$C47:$L47,"")=10,"",IF(Mac.DE110.Inp!$K47="","NULL",Mac.DE110.Inp!$K47))</f>
        <v>1</v>
      </c>
      <c r="O47" s="6">
        <f>IF(COUNTIF(Mac.DE110.Inp!$C47:$L47,"")=10,"",IF(Mac.DE110.Inp!$L47="","NULL",Mac.DE110.Inp!$L47))</f>
        <v>0</v>
      </c>
      <c r="P47" s="7" t="str">
        <f>IF(COUNTIF(Mac.DE110.Inp!$C47:$L47,"")=10,"","("&amp;aconcat($C47:$O47,",")&amp;"),")</f>
        <v>(NULL,NULL,46,306,255,72,69,"X","x",NULL,NULL,1,0),</v>
      </c>
    </row>
    <row r="48" spans="1:16" x14ac:dyDescent="0.3">
      <c r="A48" s="1" t="s">
        <v>99</v>
      </c>
      <c r="B48" s="1">
        <f t="shared" si="0"/>
        <v>47</v>
      </c>
      <c r="C48" s="6" t="str">
        <f>IF(COUNTIF(Mac.DE110.Inp!$C48:$L48,"")=10,"","NULL")</f>
        <v>NULL</v>
      </c>
      <c r="D48" s="6" t="str">
        <f>IF(COUNTIF(Mac.DE110.Inp!$C48:$L48,"")=10,"","NULL")</f>
        <v>NULL</v>
      </c>
      <c r="E48" s="6">
        <f>IF(COUNTIF(Mac.DE110.Inp!$C48:$L48,"")=10,"",$B48)</f>
        <v>47</v>
      </c>
      <c r="F48" s="6">
        <f>IF(COUNTIF(Mac.DE110.Inp!$C48:$L48,"")=10,"",IF(Mac.DE110.Inp!$C48="","NULL",Mac.DE110.Inp!$C48))</f>
        <v>378</v>
      </c>
      <c r="G48" s="6">
        <f>IF(COUNTIF(Mac.DE110.Inp!$C48:$L48,"")=10,"",IF(Mac.DE110.Inp!$D48="","NULL",Mac.DE110.Inp!$D48))</f>
        <v>255</v>
      </c>
      <c r="H48" s="6">
        <f>IF(COUNTIF(Mac.DE110.Inp!$C48:$L48,"")=10,"",IF(Mac.DE110.Inp!$E48="","NULL",Mac.DE110.Inp!$E48))</f>
        <v>72</v>
      </c>
      <c r="I48" s="6">
        <f>IF(COUNTIF(Mac.DE110.Inp!$C48:$L48,"")=10,"",IF(Mac.DE110.Inp!$F48="","NULL",Mac.DE110.Inp!$F48))</f>
        <v>69</v>
      </c>
      <c r="J48" s="6" t="str">
        <f>IF(COUNTIF(Mac.DE110.Inp!$C48:$L48,"")=10,"",IF(Mac.DE110.Inp!$G48="","NULL",""""&amp;Mac.DE110.Inp!$G48&amp;""""))</f>
        <v>"C"</v>
      </c>
      <c r="K48" s="6" t="str">
        <f>IF(COUNTIF(Mac.DE110.Inp!$C48:$L48,"")=10,"",IF(Mac.DE110.Inp!$H48="","NULL",""""&amp;Mac.DE110.Inp!$H48&amp;""""))</f>
        <v>"c"</v>
      </c>
      <c r="L48" s="6" t="str">
        <f>IF(COUNTIF(Mac.DE110.Inp!$C48:$L48,"")=10,"",IF(Mac.DE110.Inp!$I48="","NULL",""""&amp;Mac.DE110.Inp!$I48&amp;""""))</f>
        <v>NULL</v>
      </c>
      <c r="M48" s="6" t="str">
        <f>IF(COUNTIF(Mac.DE110.Inp!$C48:$L48,"")=10,"",IF(Mac.DE110.Inp!$J48="","NULL",""""&amp;Mac.DE110.Inp!$J48&amp;""""))</f>
        <v>NULL</v>
      </c>
      <c r="N48" s="6">
        <f>IF(COUNTIF(Mac.DE110.Inp!$C48:$L48,"")=10,"",IF(Mac.DE110.Inp!$K48="","NULL",Mac.DE110.Inp!$K48))</f>
        <v>1</v>
      </c>
      <c r="O48" s="6">
        <f>IF(COUNTIF(Mac.DE110.Inp!$C48:$L48,"")=10,"",IF(Mac.DE110.Inp!$L48="","NULL",Mac.DE110.Inp!$L48))</f>
        <v>0</v>
      </c>
      <c r="P48" s="7" t="str">
        <f>IF(COUNTIF(Mac.DE110.Inp!$C48:$L48,"")=10,"","("&amp;aconcat($C48:$O48,",")&amp;"),")</f>
        <v>(NULL,NULL,47,378,255,72,69,"C","c",NULL,NULL,1,0),</v>
      </c>
    </row>
    <row r="49" spans="1:16" x14ac:dyDescent="0.3">
      <c r="A49" s="1" t="s">
        <v>101</v>
      </c>
      <c r="B49" s="1">
        <f t="shared" si="0"/>
        <v>48</v>
      </c>
      <c r="C49" s="6" t="str">
        <f>IF(COUNTIF(Mac.DE110.Inp!$C49:$L49,"")=10,"","NULL")</f>
        <v>NULL</v>
      </c>
      <c r="D49" s="6" t="str">
        <f>IF(COUNTIF(Mac.DE110.Inp!$C49:$L49,"")=10,"","NULL")</f>
        <v>NULL</v>
      </c>
      <c r="E49" s="6">
        <f>IF(COUNTIF(Mac.DE110.Inp!$C49:$L49,"")=10,"",$B49)</f>
        <v>48</v>
      </c>
      <c r="F49" s="6">
        <f>IF(COUNTIF(Mac.DE110.Inp!$C49:$L49,"")=10,"",IF(Mac.DE110.Inp!$C49="","NULL",Mac.DE110.Inp!$C49))</f>
        <v>450</v>
      </c>
      <c r="G49" s="6">
        <f>IF(COUNTIF(Mac.DE110.Inp!$C49:$L49,"")=10,"",IF(Mac.DE110.Inp!$D49="","NULL",Mac.DE110.Inp!$D49))</f>
        <v>255</v>
      </c>
      <c r="H49" s="6">
        <f>IF(COUNTIF(Mac.DE110.Inp!$C49:$L49,"")=10,"",IF(Mac.DE110.Inp!$E49="","NULL",Mac.DE110.Inp!$E49))</f>
        <v>72</v>
      </c>
      <c r="I49" s="6">
        <f>IF(COUNTIF(Mac.DE110.Inp!$C49:$L49,"")=10,"",IF(Mac.DE110.Inp!$F49="","NULL",Mac.DE110.Inp!$F49))</f>
        <v>69</v>
      </c>
      <c r="J49" s="6" t="str">
        <f>IF(COUNTIF(Mac.DE110.Inp!$C49:$L49,"")=10,"",IF(Mac.DE110.Inp!$G49="","NULL",""""&amp;Mac.DE110.Inp!$G49&amp;""""))</f>
        <v>"V"</v>
      </c>
      <c r="K49" s="6" t="str">
        <f>IF(COUNTIF(Mac.DE110.Inp!$C49:$L49,"")=10,"",IF(Mac.DE110.Inp!$H49="","NULL",""""&amp;Mac.DE110.Inp!$H49&amp;""""))</f>
        <v>"v"</v>
      </c>
      <c r="L49" s="6" t="str">
        <f>IF(COUNTIF(Mac.DE110.Inp!$C49:$L49,"")=10,"",IF(Mac.DE110.Inp!$I49="","NULL",""""&amp;Mac.DE110.Inp!$I49&amp;""""))</f>
        <v>NULL</v>
      </c>
      <c r="M49" s="6" t="str">
        <f>IF(COUNTIF(Mac.DE110.Inp!$C49:$L49,"")=10,"",IF(Mac.DE110.Inp!$J49="","NULL",""""&amp;Mac.DE110.Inp!$J49&amp;""""))</f>
        <v>NULL</v>
      </c>
      <c r="N49" s="6">
        <f>IF(COUNTIF(Mac.DE110.Inp!$C49:$L49,"")=10,"",IF(Mac.DE110.Inp!$K49="","NULL",Mac.DE110.Inp!$K49))</f>
        <v>1</v>
      </c>
      <c r="O49" s="6">
        <f>IF(COUNTIF(Mac.DE110.Inp!$C49:$L49,"")=10,"",IF(Mac.DE110.Inp!$L49="","NULL",Mac.DE110.Inp!$L49))</f>
        <v>0</v>
      </c>
      <c r="P49" s="7" t="str">
        <f>IF(COUNTIF(Mac.DE110.Inp!$C49:$L49,"")=10,"","("&amp;aconcat($C49:$O49,",")&amp;"),")</f>
        <v>(NULL,NULL,48,450,255,72,69,"V","v",NULL,NULL,1,0),</v>
      </c>
    </row>
    <row r="50" spans="1:16" x14ac:dyDescent="0.3">
      <c r="A50" s="1" t="s">
        <v>103</v>
      </c>
      <c r="B50" s="1">
        <f t="shared" si="0"/>
        <v>49</v>
      </c>
      <c r="C50" s="6" t="str">
        <f>IF(COUNTIF(Mac.DE110.Inp!$C50:$L50,"")=10,"","NULL")</f>
        <v>NULL</v>
      </c>
      <c r="D50" s="6" t="str">
        <f>IF(COUNTIF(Mac.DE110.Inp!$C50:$L50,"")=10,"","NULL")</f>
        <v>NULL</v>
      </c>
      <c r="E50" s="6">
        <f>IF(COUNTIF(Mac.DE110.Inp!$C50:$L50,"")=10,"",$B50)</f>
        <v>49</v>
      </c>
      <c r="F50" s="6">
        <f>IF(COUNTIF(Mac.DE110.Inp!$C50:$L50,"")=10,"",IF(Mac.DE110.Inp!$C50="","NULL",Mac.DE110.Inp!$C50))</f>
        <v>522</v>
      </c>
      <c r="G50" s="6">
        <f>IF(COUNTIF(Mac.DE110.Inp!$C50:$L50,"")=10,"",IF(Mac.DE110.Inp!$D50="","NULL",Mac.DE110.Inp!$D50))</f>
        <v>255</v>
      </c>
      <c r="H50" s="6">
        <f>IF(COUNTIF(Mac.DE110.Inp!$C50:$L50,"")=10,"",IF(Mac.DE110.Inp!$E50="","NULL",Mac.DE110.Inp!$E50))</f>
        <v>72</v>
      </c>
      <c r="I50" s="6">
        <f>IF(COUNTIF(Mac.DE110.Inp!$C50:$L50,"")=10,"",IF(Mac.DE110.Inp!$F50="","NULL",Mac.DE110.Inp!$F50))</f>
        <v>69</v>
      </c>
      <c r="J50" s="6" t="str">
        <f>IF(COUNTIF(Mac.DE110.Inp!$C50:$L50,"")=10,"",IF(Mac.DE110.Inp!$G50="","NULL",""""&amp;Mac.DE110.Inp!$G50&amp;""""))</f>
        <v>"B"</v>
      </c>
      <c r="K50" s="6" t="str">
        <f>IF(COUNTIF(Mac.DE110.Inp!$C50:$L50,"")=10,"",IF(Mac.DE110.Inp!$H50="","NULL",""""&amp;Mac.DE110.Inp!$H50&amp;""""))</f>
        <v>"b"</v>
      </c>
      <c r="L50" s="6" t="str">
        <f>IF(COUNTIF(Mac.DE110.Inp!$C50:$L50,"")=10,"",IF(Mac.DE110.Inp!$I50="","NULL",""""&amp;Mac.DE110.Inp!$I50&amp;""""))</f>
        <v>NULL</v>
      </c>
      <c r="M50" s="6" t="str">
        <f>IF(COUNTIF(Mac.DE110.Inp!$C50:$L50,"")=10,"",IF(Mac.DE110.Inp!$J50="","NULL",""""&amp;Mac.DE110.Inp!$J50&amp;""""))</f>
        <v>NULL</v>
      </c>
      <c r="N50" s="6">
        <f>IF(COUNTIF(Mac.DE110.Inp!$C50:$L50,"")=10,"",IF(Mac.DE110.Inp!$K50="","NULL",Mac.DE110.Inp!$K50))</f>
        <v>1</v>
      </c>
      <c r="O50" s="6">
        <f>IF(COUNTIF(Mac.DE110.Inp!$C50:$L50,"")=10,"",IF(Mac.DE110.Inp!$L50="","NULL",Mac.DE110.Inp!$L50))</f>
        <v>0</v>
      </c>
      <c r="P50" s="7" t="str">
        <f>IF(COUNTIF(Mac.DE110.Inp!$C50:$L50,"")=10,"","("&amp;aconcat($C50:$O50,",")&amp;"),")</f>
        <v>(NULL,NULL,49,522,255,72,69,"B","b",NULL,NULL,1,0),</v>
      </c>
    </row>
    <row r="51" spans="1:16" x14ac:dyDescent="0.3">
      <c r="A51" s="1" t="s">
        <v>105</v>
      </c>
      <c r="B51" s="1">
        <f t="shared" si="0"/>
        <v>50</v>
      </c>
      <c r="C51" s="6" t="str">
        <f>IF(COUNTIF(Mac.DE110.Inp!$C51:$L51,"")=10,"","NULL")</f>
        <v>NULL</v>
      </c>
      <c r="D51" s="6" t="str">
        <f>IF(COUNTIF(Mac.DE110.Inp!$C51:$L51,"")=10,"","NULL")</f>
        <v>NULL</v>
      </c>
      <c r="E51" s="6">
        <f>IF(COUNTIF(Mac.DE110.Inp!$C51:$L51,"")=10,"",$B51)</f>
        <v>50</v>
      </c>
      <c r="F51" s="6">
        <f>IF(COUNTIF(Mac.DE110.Inp!$C51:$L51,"")=10,"",IF(Mac.DE110.Inp!$C51="","NULL",Mac.DE110.Inp!$C51))</f>
        <v>594</v>
      </c>
      <c r="G51" s="6">
        <f>IF(COUNTIF(Mac.DE110.Inp!$C51:$L51,"")=10,"",IF(Mac.DE110.Inp!$D51="","NULL",Mac.DE110.Inp!$D51))</f>
        <v>255</v>
      </c>
      <c r="H51" s="6">
        <f>IF(COUNTIF(Mac.DE110.Inp!$C51:$L51,"")=10,"",IF(Mac.DE110.Inp!$E51="","NULL",Mac.DE110.Inp!$E51))</f>
        <v>72</v>
      </c>
      <c r="I51" s="6">
        <f>IF(COUNTIF(Mac.DE110.Inp!$C51:$L51,"")=10,"",IF(Mac.DE110.Inp!$F51="","NULL",Mac.DE110.Inp!$F51))</f>
        <v>69</v>
      </c>
      <c r="J51" s="6" t="str">
        <f>IF(COUNTIF(Mac.DE110.Inp!$C51:$L51,"")=10,"",IF(Mac.DE110.Inp!$G51="","NULL",""""&amp;Mac.DE110.Inp!$G51&amp;""""))</f>
        <v>"N"</v>
      </c>
      <c r="K51" s="6" t="str">
        <f>IF(COUNTIF(Mac.DE110.Inp!$C51:$L51,"")=10,"",IF(Mac.DE110.Inp!$H51="","NULL",""""&amp;Mac.DE110.Inp!$H51&amp;""""))</f>
        <v>"n"</v>
      </c>
      <c r="L51" s="6" t="str">
        <f>IF(COUNTIF(Mac.DE110.Inp!$C51:$L51,"")=10,"",IF(Mac.DE110.Inp!$I51="","NULL",""""&amp;Mac.DE110.Inp!$I51&amp;""""))</f>
        <v>NULL</v>
      </c>
      <c r="M51" s="6" t="str">
        <f>IF(COUNTIF(Mac.DE110.Inp!$C51:$L51,"")=10,"",IF(Mac.DE110.Inp!$J51="","NULL",""""&amp;Mac.DE110.Inp!$J51&amp;""""))</f>
        <v>NULL</v>
      </c>
      <c r="N51" s="6">
        <f>IF(COUNTIF(Mac.DE110.Inp!$C51:$L51,"")=10,"",IF(Mac.DE110.Inp!$K51="","NULL",Mac.DE110.Inp!$K51))</f>
        <v>1</v>
      </c>
      <c r="O51" s="6">
        <f>IF(COUNTIF(Mac.DE110.Inp!$C51:$L51,"")=10,"",IF(Mac.DE110.Inp!$L51="","NULL",Mac.DE110.Inp!$L51))</f>
        <v>0</v>
      </c>
      <c r="P51" s="7" t="str">
        <f>IF(COUNTIF(Mac.DE110.Inp!$C51:$L51,"")=10,"","("&amp;aconcat($C51:$O51,",")&amp;"),")</f>
        <v>(NULL,NULL,50,594,255,72,69,"N","n",NULL,NULL,1,0),</v>
      </c>
    </row>
    <row r="52" spans="1:16" x14ac:dyDescent="0.3">
      <c r="A52" s="1" t="s">
        <v>107</v>
      </c>
      <c r="B52" s="1">
        <f t="shared" si="0"/>
        <v>51</v>
      </c>
      <c r="C52" s="6" t="str">
        <f>IF(COUNTIF(Mac.DE110.Inp!$C52:$L52,"")=10,"","NULL")</f>
        <v>NULL</v>
      </c>
      <c r="D52" s="6" t="str">
        <f>IF(COUNTIF(Mac.DE110.Inp!$C52:$L52,"")=10,"","NULL")</f>
        <v>NULL</v>
      </c>
      <c r="E52" s="6">
        <f>IF(COUNTIF(Mac.DE110.Inp!$C52:$L52,"")=10,"",$B52)</f>
        <v>51</v>
      </c>
      <c r="F52" s="6">
        <f>IF(COUNTIF(Mac.DE110.Inp!$C52:$L52,"")=10,"",IF(Mac.DE110.Inp!$C52="","NULL",Mac.DE110.Inp!$C52))</f>
        <v>666</v>
      </c>
      <c r="G52" s="6">
        <f>IF(COUNTIF(Mac.DE110.Inp!$C52:$L52,"")=10,"",IF(Mac.DE110.Inp!$D52="","NULL",Mac.DE110.Inp!$D52))</f>
        <v>255</v>
      </c>
      <c r="H52" s="6">
        <f>IF(COUNTIF(Mac.DE110.Inp!$C52:$L52,"")=10,"",IF(Mac.DE110.Inp!$E52="","NULL",Mac.DE110.Inp!$E52))</f>
        <v>72</v>
      </c>
      <c r="I52" s="6">
        <f>IF(COUNTIF(Mac.DE110.Inp!$C52:$L52,"")=10,"",IF(Mac.DE110.Inp!$F52="","NULL",Mac.DE110.Inp!$F52))</f>
        <v>69</v>
      </c>
      <c r="J52" s="6" t="str">
        <f>IF(COUNTIF(Mac.DE110.Inp!$C52:$L52,"")=10,"",IF(Mac.DE110.Inp!$G52="","NULL",""""&amp;Mac.DE110.Inp!$G52&amp;""""))</f>
        <v>"M"</v>
      </c>
      <c r="K52" s="6" t="str">
        <f>IF(COUNTIF(Mac.DE110.Inp!$C52:$L52,"")=10,"",IF(Mac.DE110.Inp!$H52="","NULL",""""&amp;Mac.DE110.Inp!$H52&amp;""""))</f>
        <v>"m"</v>
      </c>
      <c r="L52" s="6" t="str">
        <f>IF(COUNTIF(Mac.DE110.Inp!$C52:$L52,"")=10,"",IF(Mac.DE110.Inp!$I52="","NULL",""""&amp;Mac.DE110.Inp!$I52&amp;""""))</f>
        <v>NULL</v>
      </c>
      <c r="M52" s="6" t="str">
        <f>IF(COUNTIF(Mac.DE110.Inp!$C52:$L52,"")=10,"",IF(Mac.DE110.Inp!$J52="","NULL",""""&amp;Mac.DE110.Inp!$J52&amp;""""))</f>
        <v>NULL</v>
      </c>
      <c r="N52" s="6">
        <f>IF(COUNTIF(Mac.DE110.Inp!$C52:$L52,"")=10,"",IF(Mac.DE110.Inp!$K52="","NULL",Mac.DE110.Inp!$K52))</f>
        <v>0</v>
      </c>
      <c r="O52" s="6">
        <f>IF(COUNTIF(Mac.DE110.Inp!$C52:$L52,"")=10,"",IF(Mac.DE110.Inp!$L52="","NULL",Mac.DE110.Inp!$L52))</f>
        <v>0</v>
      </c>
      <c r="P52" s="7" t="str">
        <f>IF(COUNTIF(Mac.DE110.Inp!$C52:$L52,"")=10,"","("&amp;aconcat($C52:$O52,",")&amp;"),")</f>
        <v>(NULL,NULL,51,666,255,72,69,"M","m",NULL,NULL,0,0),</v>
      </c>
    </row>
    <row r="53" spans="1:16" x14ac:dyDescent="0.3">
      <c r="A53" s="1" t="s">
        <v>110</v>
      </c>
      <c r="B53" s="1">
        <f t="shared" si="0"/>
        <v>52</v>
      </c>
      <c r="C53" s="6" t="str">
        <f>IF(COUNTIF(Mac.DE110.Inp!$C53:$L53,"")=10,"","NULL")</f>
        <v>NULL</v>
      </c>
      <c r="D53" s="6" t="str">
        <f>IF(COUNTIF(Mac.DE110.Inp!$C53:$L53,"")=10,"","NULL")</f>
        <v>NULL</v>
      </c>
      <c r="E53" s="6">
        <f>IF(COUNTIF(Mac.DE110.Inp!$C53:$L53,"")=10,"",$B53)</f>
        <v>52</v>
      </c>
      <c r="F53" s="6">
        <f>IF(COUNTIF(Mac.DE110.Inp!$C53:$L53,"")=10,"",IF(Mac.DE110.Inp!$C53="","NULL",Mac.DE110.Inp!$C53))</f>
        <v>738</v>
      </c>
      <c r="G53" s="6">
        <f>IF(COUNTIF(Mac.DE110.Inp!$C53:$L53,"")=10,"",IF(Mac.DE110.Inp!$D53="","NULL",Mac.DE110.Inp!$D53))</f>
        <v>255</v>
      </c>
      <c r="H53" s="6">
        <f>IF(COUNTIF(Mac.DE110.Inp!$C53:$L53,"")=10,"",IF(Mac.DE110.Inp!$E53="","NULL",Mac.DE110.Inp!$E53))</f>
        <v>72</v>
      </c>
      <c r="I53" s="6">
        <f>IF(COUNTIF(Mac.DE110.Inp!$C53:$L53,"")=10,"",IF(Mac.DE110.Inp!$F53="","NULL",Mac.DE110.Inp!$F53))</f>
        <v>69</v>
      </c>
      <c r="J53" s="6" t="str">
        <f>IF(COUNTIF(Mac.DE110.Inp!$C53:$L53,"")=10,"",IF(Mac.DE110.Inp!$G53="","NULL",""""&amp;Mac.DE110.Inp!$G53&amp;""""))</f>
        <v>";"</v>
      </c>
      <c r="K53" s="6" t="str">
        <f>IF(COUNTIF(Mac.DE110.Inp!$C53:$L53,"")=10,"",IF(Mac.DE110.Inp!$H53="","NULL",""""&amp;Mac.DE110.Inp!$H53&amp;""""))</f>
        <v>","</v>
      </c>
      <c r="L53" s="6" t="str">
        <f>IF(COUNTIF(Mac.DE110.Inp!$C53:$L53,"")=10,"",IF(Mac.DE110.Inp!$I53="","NULL",""""&amp;Mac.DE110.Inp!$I53&amp;""""))</f>
        <v>NULL</v>
      </c>
      <c r="M53" s="6" t="str">
        <f>IF(COUNTIF(Mac.DE110.Inp!$C53:$L53,"")=10,"",IF(Mac.DE110.Inp!$J53="","NULL",""""&amp;Mac.DE110.Inp!$J53&amp;""""))</f>
        <v>NULL</v>
      </c>
      <c r="N53" s="6">
        <f>IF(COUNTIF(Mac.DE110.Inp!$C53:$L53,"")=10,"",IF(Mac.DE110.Inp!$K53="","NULL",Mac.DE110.Inp!$K53))</f>
        <v>0</v>
      </c>
      <c r="O53" s="6">
        <f>IF(COUNTIF(Mac.DE110.Inp!$C53:$L53,"")=10,"",IF(Mac.DE110.Inp!$L53="","NULL",Mac.DE110.Inp!$L53))</f>
        <v>0</v>
      </c>
      <c r="P53" s="7" t="str">
        <f>IF(COUNTIF(Mac.DE110.Inp!$C53:$L53,"")=10,"","("&amp;aconcat($C53:$O53,",")&amp;"),")</f>
        <v>(NULL,NULL,52,738,255,72,69,";",",",NULL,NULL,0,0),</v>
      </c>
    </row>
    <row r="54" spans="1:16" x14ac:dyDescent="0.3">
      <c r="A54" s="1" t="s">
        <v>112</v>
      </c>
      <c r="B54" s="1">
        <f t="shared" si="0"/>
        <v>53</v>
      </c>
      <c r="C54" s="6" t="str">
        <f>IF(COUNTIF(Mac.DE110.Inp!$C54:$L54,"")=10,"","NULL")</f>
        <v>NULL</v>
      </c>
      <c r="D54" s="6" t="str">
        <f>IF(COUNTIF(Mac.DE110.Inp!$C54:$L54,"")=10,"","NULL")</f>
        <v>NULL</v>
      </c>
      <c r="E54" s="6">
        <f>IF(COUNTIF(Mac.DE110.Inp!$C54:$L54,"")=10,"",$B54)</f>
        <v>53</v>
      </c>
      <c r="F54" s="6">
        <f>IF(COUNTIF(Mac.DE110.Inp!$C54:$L54,"")=10,"",IF(Mac.DE110.Inp!$C54="","NULL",Mac.DE110.Inp!$C54))</f>
        <v>810</v>
      </c>
      <c r="G54" s="6">
        <f>IF(COUNTIF(Mac.DE110.Inp!$C54:$L54,"")=10,"",IF(Mac.DE110.Inp!$D54="","NULL",Mac.DE110.Inp!$D54))</f>
        <v>255</v>
      </c>
      <c r="H54" s="6">
        <f>IF(COUNTIF(Mac.DE110.Inp!$C54:$L54,"")=10,"",IF(Mac.DE110.Inp!$E54="","NULL",Mac.DE110.Inp!$E54))</f>
        <v>72</v>
      </c>
      <c r="I54" s="6">
        <f>IF(COUNTIF(Mac.DE110.Inp!$C54:$L54,"")=10,"",IF(Mac.DE110.Inp!$F54="","NULL",Mac.DE110.Inp!$F54))</f>
        <v>69</v>
      </c>
      <c r="J54" s="6" t="str">
        <f>IF(COUNTIF(Mac.DE110.Inp!$C54:$L54,"")=10,"",IF(Mac.DE110.Inp!$G54="","NULL",""""&amp;Mac.DE110.Inp!$G54&amp;""""))</f>
        <v>":"</v>
      </c>
      <c r="K54" s="6" t="str">
        <f>IF(COUNTIF(Mac.DE110.Inp!$C54:$L54,"")=10,"",IF(Mac.DE110.Inp!$H54="","NULL",""""&amp;Mac.DE110.Inp!$H54&amp;""""))</f>
        <v>"."</v>
      </c>
      <c r="L54" s="6" t="str">
        <f>IF(COUNTIF(Mac.DE110.Inp!$C54:$L54,"")=10,"",IF(Mac.DE110.Inp!$I54="","NULL",""""&amp;Mac.DE110.Inp!$I54&amp;""""))</f>
        <v>NULL</v>
      </c>
      <c r="M54" s="6" t="str">
        <f>IF(COUNTIF(Mac.DE110.Inp!$C54:$L54,"")=10,"",IF(Mac.DE110.Inp!$J54="","NULL",""""&amp;Mac.DE110.Inp!$J54&amp;""""))</f>
        <v>NULL</v>
      </c>
      <c r="N54" s="6">
        <f>IF(COUNTIF(Mac.DE110.Inp!$C54:$L54,"")=10,"",IF(Mac.DE110.Inp!$K54="","NULL",Mac.DE110.Inp!$K54))</f>
        <v>0</v>
      </c>
      <c r="O54" s="6">
        <f>IF(COUNTIF(Mac.DE110.Inp!$C54:$L54,"")=10,"",IF(Mac.DE110.Inp!$L54="","NULL",Mac.DE110.Inp!$L54))</f>
        <v>0</v>
      </c>
      <c r="P54" s="7" t="str">
        <f>IF(COUNTIF(Mac.DE110.Inp!$C54:$L54,"")=10,"","("&amp;aconcat($C54:$O54,",")&amp;"),")</f>
        <v>(NULL,NULL,53,810,255,72,69,":",".",NULL,NULL,0,0),</v>
      </c>
    </row>
    <row r="55" spans="1:16" x14ac:dyDescent="0.3">
      <c r="A55" s="1" t="s">
        <v>114</v>
      </c>
      <c r="B55" s="1">
        <f t="shared" si="0"/>
        <v>54</v>
      </c>
      <c r="C55" s="6" t="str">
        <f>IF(COUNTIF(Mac.DE110.Inp!$C55:$L55,"")=10,"","NULL")</f>
        <v>NULL</v>
      </c>
      <c r="D55" s="6" t="str">
        <f>IF(COUNTIF(Mac.DE110.Inp!$C55:$L55,"")=10,"","NULL")</f>
        <v>NULL</v>
      </c>
      <c r="E55" s="6">
        <f>IF(COUNTIF(Mac.DE110.Inp!$C55:$L55,"")=10,"",$B55)</f>
        <v>54</v>
      </c>
      <c r="F55" s="6">
        <f>IF(COUNTIF(Mac.DE110.Inp!$C55:$L55,"")=10,"",IF(Mac.DE110.Inp!$C55="","NULL",Mac.DE110.Inp!$C55))</f>
        <v>810</v>
      </c>
      <c r="G55" s="6">
        <f>IF(COUNTIF(Mac.DE110.Inp!$C55:$L55,"")=10,"",IF(Mac.DE110.Inp!$D55="","NULL",Mac.DE110.Inp!$D55))</f>
        <v>255</v>
      </c>
      <c r="H55" s="6">
        <f>IF(COUNTIF(Mac.DE110.Inp!$C55:$L55,"")=10,"",IF(Mac.DE110.Inp!$E55="","NULL",Mac.DE110.Inp!$E55))</f>
        <v>72</v>
      </c>
      <c r="I55" s="6">
        <f>IF(COUNTIF(Mac.DE110.Inp!$C55:$L55,"")=10,"",IF(Mac.DE110.Inp!$F55="","NULL",Mac.DE110.Inp!$F55))</f>
        <v>69</v>
      </c>
      <c r="J55" s="6" t="str">
        <f>IF(COUNTIF(Mac.DE110.Inp!$C55:$L55,"")=10,"",IF(Mac.DE110.Inp!$G55="","NULL",""""&amp;Mac.DE110.Inp!$G55&amp;""""))</f>
        <v>"_"</v>
      </c>
      <c r="K55" s="6" t="str">
        <f>IF(COUNTIF(Mac.DE110.Inp!$C55:$L55,"")=10,"",IF(Mac.DE110.Inp!$H55="","NULL",""""&amp;Mac.DE110.Inp!$H55&amp;""""))</f>
        <v>"-"</v>
      </c>
      <c r="L55" s="6" t="str">
        <f>IF(COUNTIF(Mac.DE110.Inp!$C55:$L55,"")=10,"",IF(Mac.DE110.Inp!$I55="","NULL",""""&amp;Mac.DE110.Inp!$I55&amp;""""))</f>
        <v>NULL</v>
      </c>
      <c r="M55" s="6" t="str">
        <f>IF(COUNTIF(Mac.DE110.Inp!$C55:$L55,"")=10,"",IF(Mac.DE110.Inp!$J55="","NULL",""""&amp;Mac.DE110.Inp!$J55&amp;""""))</f>
        <v>NULL</v>
      </c>
      <c r="N55" s="6">
        <f>IF(COUNTIF(Mac.DE110.Inp!$C55:$L55,"")=10,"",IF(Mac.DE110.Inp!$K55="","NULL",Mac.DE110.Inp!$K55))</f>
        <v>0</v>
      </c>
      <c r="O55" s="6">
        <f>IF(COUNTIF(Mac.DE110.Inp!$C55:$L55,"")=10,"",IF(Mac.DE110.Inp!$L55="","NULL",Mac.DE110.Inp!$L55))</f>
        <v>0</v>
      </c>
      <c r="P55" s="7" t="str">
        <f>IF(COUNTIF(Mac.DE110.Inp!$C55:$L55,"")=10,"","("&amp;aconcat($C55:$O55,",")&amp;"),")</f>
        <v>(NULL,NULL,54,810,255,72,69,"_","-",NULL,NULL,0,0),</v>
      </c>
    </row>
    <row r="56" spans="1:16" x14ac:dyDescent="0.3">
      <c r="A56" s="1" t="s">
        <v>115</v>
      </c>
      <c r="B56" s="1">
        <f t="shared" si="0"/>
        <v>55</v>
      </c>
      <c r="C56" s="6" t="str">
        <f>IF(COUNTIF(Mac.DE110.Inp!$C56:$L56,"")=10,"","NULL")</f>
        <v>NULL</v>
      </c>
      <c r="D56" s="6" t="str">
        <f>IF(COUNTIF(Mac.DE110.Inp!$C56:$L56,"")=10,"","NULL")</f>
        <v>NULL</v>
      </c>
      <c r="E56" s="6">
        <f>IF(COUNTIF(Mac.DE110.Inp!$C56:$L56,"")=10,"",$B56)</f>
        <v>55</v>
      </c>
      <c r="F56" s="6">
        <f>IF(COUNTIF(Mac.DE110.Inp!$C56:$L56,"")=10,"",IF(Mac.DE110.Inp!$C56="","NULL",Mac.DE110.Inp!$C56))</f>
        <v>882</v>
      </c>
      <c r="G56" s="6">
        <f>IF(COUNTIF(Mac.DE110.Inp!$C56:$L56,"")=10,"",IF(Mac.DE110.Inp!$D56="","NULL",Mac.DE110.Inp!$D56))</f>
        <v>255</v>
      </c>
      <c r="H56" s="6">
        <f>IF(COUNTIF(Mac.DE110.Inp!$C56:$L56,"")=10,"",IF(Mac.DE110.Inp!$E56="","NULL",Mac.DE110.Inp!$E56))</f>
        <v>162</v>
      </c>
      <c r="I56" s="6">
        <f>IF(COUNTIF(Mac.DE110.Inp!$C56:$L56,"")=10,"",IF(Mac.DE110.Inp!$F56="","NULL",Mac.DE110.Inp!$F56))</f>
        <v>69</v>
      </c>
      <c r="J56" s="6" t="str">
        <f>IF(COUNTIF(Mac.DE110.Inp!$C56:$L56,"")=10,"",IF(Mac.DE110.Inp!$G56="","NULL",""""&amp;Mac.DE110.Inp!$G56&amp;""""))</f>
        <v>NULL</v>
      </c>
      <c r="K56" s="6" t="str">
        <f>IF(COUNTIF(Mac.DE110.Inp!$C56:$L56,"")=10,"",IF(Mac.DE110.Inp!$H56="","NULL",""""&amp;Mac.DE110.Inp!$H56&amp;""""))</f>
        <v>"RUmschalt"</v>
      </c>
      <c r="L56" s="6" t="str">
        <f>IF(COUNTIF(Mac.DE110.Inp!$C56:$L56,"")=10,"",IF(Mac.DE110.Inp!$I56="","NULL",""""&amp;Mac.DE110.Inp!$I56&amp;""""))</f>
        <v>NULL</v>
      </c>
      <c r="M56" s="6" t="str">
        <f>IF(COUNTIF(Mac.DE110.Inp!$C56:$L56,"")=10,"",IF(Mac.DE110.Inp!$J56="","NULL",""""&amp;Mac.DE110.Inp!$J56&amp;""""))</f>
        <v>NULL</v>
      </c>
      <c r="N56" s="6">
        <f>IF(COUNTIF(Mac.DE110.Inp!$C56:$L56,"")=10,"",IF(Mac.DE110.Inp!$K56="","NULL",Mac.DE110.Inp!$K56))</f>
        <v>0</v>
      </c>
      <c r="O56" s="6">
        <f>IF(COUNTIF(Mac.DE110.Inp!$C56:$L56,"")=10,"",IF(Mac.DE110.Inp!$L56="","NULL",Mac.DE110.Inp!$L56))</f>
        <v>0</v>
      </c>
      <c r="P56" s="7" t="str">
        <f>IF(COUNTIF(Mac.DE110.Inp!$C56:$L56,"")=10,"","("&amp;aconcat($C56:$O56,",")&amp;"),")</f>
        <v>(NULL,NULL,55,882,255,162,69,NULL,"RUmschalt",NULL,NULL,0,0),</v>
      </c>
    </row>
    <row r="57" spans="1:16" x14ac:dyDescent="0.3">
      <c r="A57" s="1" t="s">
        <v>116</v>
      </c>
      <c r="B57" s="1">
        <f t="shared" si="0"/>
        <v>56</v>
      </c>
      <c r="C57" s="6" t="str">
        <f>IF(COUNTIF(Mac.DE110.Inp!$C57:$L57,"")=10,"","NULL")</f>
        <v>NULL</v>
      </c>
      <c r="D57" s="6" t="str">
        <f>IF(COUNTIF(Mac.DE110.Inp!$C57:$L57,"")=10,"","NULL")</f>
        <v>NULL</v>
      </c>
      <c r="E57" s="6">
        <f>IF(COUNTIF(Mac.DE110.Inp!$C57:$L57,"")=10,"",$B57)</f>
        <v>56</v>
      </c>
      <c r="F57" s="6">
        <f>IF(COUNTIF(Mac.DE110.Inp!$C57:$L57,"")=10,"",IF(Mac.DE110.Inp!$C57="","NULL",Mac.DE110.Inp!$C57))</f>
        <v>0</v>
      </c>
      <c r="G57" s="6">
        <f>IF(COUNTIF(Mac.DE110.Inp!$C57:$L57,"")=10,"",IF(Mac.DE110.Inp!$D57="","NULL",Mac.DE110.Inp!$D57))</f>
        <v>324</v>
      </c>
      <c r="H57" s="6">
        <f>IF(COUNTIF(Mac.DE110.Inp!$C57:$L57,"")=10,"",IF(Mac.DE110.Inp!$E57="","NULL",Mac.DE110.Inp!$E57))</f>
        <v>108</v>
      </c>
      <c r="I57" s="6">
        <f>IF(COUNTIF(Mac.DE110.Inp!$C57:$L57,"")=10,"",IF(Mac.DE110.Inp!$F57="","NULL",Mac.DE110.Inp!$F57))</f>
        <v>84</v>
      </c>
      <c r="J57" s="6" t="str">
        <f>IF(COUNTIF(Mac.DE110.Inp!$C57:$L57,"")=10,"",IF(Mac.DE110.Inp!$G57="","NULL",""""&amp;Mac.DE110.Inp!$G57&amp;""""))</f>
        <v>NULL</v>
      </c>
      <c r="K57" s="6" t="str">
        <f>IF(COUNTIF(Mac.DE110.Inp!$C57:$L57,"")=10,"",IF(Mac.DE110.Inp!$H57="","NULL",""""&amp;Mac.DE110.Inp!$H57&amp;""""))</f>
        <v>"LStrg"</v>
      </c>
      <c r="L57" s="6" t="str">
        <f>IF(COUNTIF(Mac.DE110.Inp!$C57:$L57,"")=10,"",IF(Mac.DE110.Inp!$I57="","NULL",""""&amp;Mac.DE110.Inp!$I57&amp;""""))</f>
        <v>NULL</v>
      </c>
      <c r="M57" s="6" t="str">
        <f>IF(COUNTIF(Mac.DE110.Inp!$C57:$L57,"")=10,"",IF(Mac.DE110.Inp!$J57="","NULL",""""&amp;Mac.DE110.Inp!$J57&amp;""""))</f>
        <v>NULL</v>
      </c>
      <c r="N57" s="6">
        <f>IF(COUNTIF(Mac.DE110.Inp!$C57:$L57,"")=10,"",IF(Mac.DE110.Inp!$K57="","NULL",Mac.DE110.Inp!$K57))</f>
        <v>0</v>
      </c>
      <c r="O57" s="6">
        <f>IF(COUNTIF(Mac.DE110.Inp!$C57:$L57,"")=10,"",IF(Mac.DE110.Inp!$L57="","NULL",Mac.DE110.Inp!$L57))</f>
        <v>0</v>
      </c>
      <c r="P57" s="7" t="str">
        <f>IF(COUNTIF(Mac.DE110.Inp!$C57:$L57,"")=10,"","("&amp;aconcat($C57:$O57,",")&amp;"),")</f>
        <v>(NULL,NULL,56,0,324,108,84,NULL,"LStrg",NULL,NULL,0,0),</v>
      </c>
    </row>
    <row r="58" spans="1:16" x14ac:dyDescent="0.3">
      <c r="A58" s="1" t="s">
        <v>216</v>
      </c>
      <c r="B58" s="1">
        <f t="shared" si="0"/>
        <v>57</v>
      </c>
      <c r="C58" s="6" t="str">
        <f>IF(COUNTIF(Mac.DE110.Inp!$C58:$L58,"")=10,"","NULL")</f>
        <v>NULL</v>
      </c>
      <c r="D58" s="6" t="str">
        <f>IF(COUNTIF(Mac.DE110.Inp!$C58:$L58,"")=10,"","NULL")</f>
        <v>NULL</v>
      </c>
      <c r="E58" s="6">
        <f>IF(COUNTIF(Mac.DE110.Inp!$C58:$L58,"")=10,"",$B58)</f>
        <v>57</v>
      </c>
      <c r="F58" s="6">
        <f>IF(COUNTIF(Mac.DE110.Inp!$C58:$L58,"")=10,"",IF(Mac.DE110.Inp!$C58="","NULL",Mac.DE110.Inp!$C58))</f>
        <v>108</v>
      </c>
      <c r="G58" s="6">
        <f>IF(COUNTIF(Mac.DE110.Inp!$C58:$L58,"")=10,"",IF(Mac.DE110.Inp!$D58="","NULL",Mac.DE110.Inp!$D58))</f>
        <v>324</v>
      </c>
      <c r="H58" s="6">
        <f>IF(COUNTIF(Mac.DE110.Inp!$C58:$L58,"")=10,"",IF(Mac.DE110.Inp!$E58="","NULL",Mac.DE110.Inp!$E58))</f>
        <v>90</v>
      </c>
      <c r="I58" s="6">
        <f>IF(COUNTIF(Mac.DE110.Inp!$C58:$L58,"")=10,"",IF(Mac.DE110.Inp!$F58="","NULL",Mac.DE110.Inp!$F58))</f>
        <v>84</v>
      </c>
      <c r="J58" s="6" t="str">
        <f>IF(COUNTIF(Mac.DE110.Inp!$C58:$L58,"")=10,"",IF(Mac.DE110.Inp!$G58="","NULL",""""&amp;Mac.DE110.Inp!$G58&amp;""""))</f>
        <v>NULL</v>
      </c>
      <c r="K58" s="6" t="str">
        <f>IF(COUNTIF(Mac.DE110.Inp!$C58:$L58,"")=10,"",IF(Mac.DE110.Inp!$H58="","NULL",""""&amp;Mac.DE110.Inp!$H58&amp;""""))</f>
        <v>"LAlt"</v>
      </c>
      <c r="L58" s="6" t="str">
        <f>IF(COUNTIF(Mac.DE110.Inp!$C58:$L58,"")=10,"",IF(Mac.DE110.Inp!$I58="","NULL",""""&amp;Mac.DE110.Inp!$I58&amp;""""))</f>
        <v>NULL</v>
      </c>
      <c r="M58" s="6" t="str">
        <f>IF(COUNTIF(Mac.DE110.Inp!$C58:$L58,"")=10,"",IF(Mac.DE110.Inp!$J58="","NULL",""""&amp;Mac.DE110.Inp!$J58&amp;""""))</f>
        <v>NULL</v>
      </c>
      <c r="N58" s="6">
        <f>IF(COUNTIF(Mac.DE110.Inp!$C58:$L58,"")=10,"",IF(Mac.DE110.Inp!$K58="","NULL",Mac.DE110.Inp!$K58))</f>
        <v>0</v>
      </c>
      <c r="O58" s="6">
        <f>IF(COUNTIF(Mac.DE110.Inp!$C58:$L58,"")=10,"",IF(Mac.DE110.Inp!$L58="","NULL",Mac.DE110.Inp!$L58))</f>
        <v>0</v>
      </c>
      <c r="P58" s="7" t="str">
        <f>IF(COUNTIF(Mac.DE110.Inp!$C58:$L58,"")=10,"","("&amp;aconcat($C58:$O58,",")&amp;"),")</f>
        <v>(NULL,NULL,57,108,324,90,84,NULL,"LAlt",NULL,NULL,0,0),</v>
      </c>
    </row>
    <row r="59" spans="1:16" x14ac:dyDescent="0.3">
      <c r="A59" s="1" t="s">
        <v>118</v>
      </c>
      <c r="B59" s="1">
        <f t="shared" si="0"/>
        <v>58</v>
      </c>
      <c r="C59" s="6" t="str">
        <f>IF(COUNTIF(Mac.DE110.Inp!$C59:$L59,"")=10,"","NULL")</f>
        <v>NULL</v>
      </c>
      <c r="D59" s="6" t="str">
        <f>IF(COUNTIF(Mac.DE110.Inp!$C59:$L59,"")=10,"","NULL")</f>
        <v>NULL</v>
      </c>
      <c r="E59" s="6">
        <f>IF(COUNTIF(Mac.DE110.Inp!$C59:$L59,"")=10,"",$B59)</f>
        <v>58</v>
      </c>
      <c r="F59" s="6">
        <f>IF(COUNTIF(Mac.DE110.Inp!$C59:$L59,"")=10,"",IF(Mac.DE110.Inp!$C59="","NULL",Mac.DE110.Inp!$C59))</f>
        <v>306</v>
      </c>
      <c r="G59" s="6">
        <f>IF(COUNTIF(Mac.DE110.Inp!$C59:$L59,"")=10,"",IF(Mac.DE110.Inp!$D59="","NULL",Mac.DE110.Inp!$D59))</f>
        <v>324</v>
      </c>
      <c r="H59" s="6">
        <f>IF(COUNTIF(Mac.DE110.Inp!$C59:$L59,"")=10,"",IF(Mac.DE110.Inp!$E59="","NULL",Mac.DE110.Inp!$E59))</f>
        <v>432</v>
      </c>
      <c r="I59" s="6">
        <f>IF(COUNTIF(Mac.DE110.Inp!$C59:$L59,"")=10,"",IF(Mac.DE110.Inp!$F59="","NULL",Mac.DE110.Inp!$F59))</f>
        <v>84</v>
      </c>
      <c r="J59" s="6" t="str">
        <f>IF(COUNTIF(Mac.DE110.Inp!$C59:$L59,"")=10,"",IF(Mac.DE110.Inp!$G59="","NULL",""""&amp;Mac.DE110.Inp!$G59&amp;""""))</f>
        <v>NULL</v>
      </c>
      <c r="K59" s="6" t="str">
        <f>IF(COUNTIF(Mac.DE110.Inp!$C59:$L59,"")=10,"",IF(Mac.DE110.Inp!$H59="","NULL",""""&amp;Mac.DE110.Inp!$H59&amp;""""))</f>
        <v>"Leer"</v>
      </c>
      <c r="L59" s="6" t="str">
        <f>IF(COUNTIF(Mac.DE110.Inp!$C59:$L59,"")=10,"",IF(Mac.DE110.Inp!$I59="","NULL",""""&amp;Mac.DE110.Inp!$I59&amp;""""))</f>
        <v>NULL</v>
      </c>
      <c r="M59" s="6" t="str">
        <f>IF(COUNTIF(Mac.DE110.Inp!$C59:$L59,"")=10,"",IF(Mac.DE110.Inp!$J59="","NULL",""""&amp;Mac.DE110.Inp!$J59&amp;""""))</f>
        <v>NULL</v>
      </c>
      <c r="N59" s="6">
        <f>IF(COUNTIF(Mac.DE110.Inp!$C59:$L59,"")=10,"",IF(Mac.DE110.Inp!$K59="","NULL",Mac.DE110.Inp!$K59))</f>
        <v>0</v>
      </c>
      <c r="O59" s="6">
        <f>IF(COUNTIF(Mac.DE110.Inp!$C59:$L59,"")=10,"",IF(Mac.DE110.Inp!$L59="","NULL",Mac.DE110.Inp!$L59))</f>
        <v>0</v>
      </c>
      <c r="P59" s="7" t="str">
        <f>IF(COUNTIF(Mac.DE110.Inp!$C59:$L59,"")=10,"","("&amp;aconcat($C59:$O59,",")&amp;"),")</f>
        <v>(NULL,NULL,58,306,324,432,84,NULL,"Leer",NULL,NULL,0,0),</v>
      </c>
    </row>
    <row r="60" spans="1:16" x14ac:dyDescent="0.3">
      <c r="A60" s="1" t="s">
        <v>171</v>
      </c>
      <c r="B60" s="1">
        <f t="shared" si="0"/>
        <v>59</v>
      </c>
      <c r="C60" s="6" t="str">
        <f>IF(COUNTIF(Mac.DE110.Inp!$C60:$L60,"")=10,"","NULL")</f>
        <v>NULL</v>
      </c>
      <c r="D60" s="6" t="str">
        <f>IF(COUNTIF(Mac.DE110.Inp!$C60:$L60,"")=10,"","NULL")</f>
        <v>NULL</v>
      </c>
      <c r="E60" s="6">
        <f>IF(COUNTIF(Mac.DE110.Inp!$C60:$L60,"")=10,"",$B60)</f>
        <v>59</v>
      </c>
      <c r="F60" s="6">
        <f>IF(COUNTIF(Mac.DE110.Inp!$C60:$L60,"")=10,"",IF(Mac.DE110.Inp!$C60="","NULL",Mac.DE110.Inp!$C60))</f>
        <v>936</v>
      </c>
      <c r="G60" s="6">
        <f>IF(COUNTIF(Mac.DE110.Inp!$C60:$L60,"")=10,"",IF(Mac.DE110.Inp!$D60="","NULL",Mac.DE110.Inp!$D60))</f>
        <v>324</v>
      </c>
      <c r="H60" s="6">
        <f>IF(COUNTIF(Mac.DE110.Inp!$C60:$L60,"")=10,"",IF(Mac.DE110.Inp!$E60="","NULL",Mac.DE110.Inp!$E60))</f>
        <v>108</v>
      </c>
      <c r="I60" s="6">
        <f>IF(COUNTIF(Mac.DE110.Inp!$C60:$L60,"")=10,"",IF(Mac.DE110.Inp!$F60="","NULL",Mac.DE110.Inp!$F60))</f>
        <v>84</v>
      </c>
      <c r="J60" s="6" t="str">
        <f>IF(COUNTIF(Mac.DE110.Inp!$C60:$L60,"")=10,"",IF(Mac.DE110.Inp!$G60="","NULL",""""&amp;Mac.DE110.Inp!$G60&amp;""""))</f>
        <v>NULL</v>
      </c>
      <c r="K60" s="6" t="str">
        <f>IF(COUNTIF(Mac.DE110.Inp!$C60:$L60,"")=10,"",IF(Mac.DE110.Inp!$H60="","NULL",""""&amp;Mac.DE110.Inp!$H60&amp;""""))</f>
        <v>"RCtrl"</v>
      </c>
      <c r="L60" s="6" t="str">
        <f>IF(COUNTIF(Mac.DE110.Inp!$C60:$L60,"")=10,"",IF(Mac.DE110.Inp!$I60="","NULL",""""&amp;Mac.DE110.Inp!$I60&amp;""""))</f>
        <v>NULL</v>
      </c>
      <c r="M60" s="6" t="str">
        <f>IF(COUNTIF(Mac.DE110.Inp!$C60:$L60,"")=10,"",IF(Mac.DE110.Inp!$J60="","NULL",""""&amp;Mac.DE110.Inp!$J60&amp;""""))</f>
        <v>NULL</v>
      </c>
      <c r="N60" s="6">
        <f>IF(COUNTIF(Mac.DE110.Inp!$C60:$L60,"")=10,"",IF(Mac.DE110.Inp!$K60="","NULL",Mac.DE110.Inp!$K60))</f>
        <v>0</v>
      </c>
      <c r="O60" s="6">
        <f>IF(COUNTIF(Mac.DE110.Inp!$C60:$L60,"")=10,"",IF(Mac.DE110.Inp!$L60="","NULL",Mac.DE110.Inp!$L60))</f>
        <v>0</v>
      </c>
      <c r="P60" s="7" t="str">
        <f>IF(COUNTIF(Mac.DE110.Inp!$C60:$L60,"")=10,"","("&amp;aconcat($C60:$O60,",")&amp;"),")</f>
        <v>(NULL,NULL,59,936,324,108,84,NULL,"RCtrl",NULL,NULL,0,0),</v>
      </c>
    </row>
    <row r="61" spans="1:16" x14ac:dyDescent="0.3">
      <c r="A61" s="1" t="s">
        <v>217</v>
      </c>
      <c r="B61" s="1">
        <f t="shared" si="0"/>
        <v>60</v>
      </c>
      <c r="C61" s="6" t="str">
        <f>IF(COUNTIF(Mac.DE110.Inp!$C61:$L61,"")=10,"","NULL")</f>
        <v>NULL</v>
      </c>
      <c r="D61" s="6" t="str">
        <f>IF(COUNTIF(Mac.DE110.Inp!$C61:$L61,"")=10,"","NULL")</f>
        <v>NULL</v>
      </c>
      <c r="E61" s="6">
        <f>IF(COUNTIF(Mac.DE110.Inp!$C61:$L61,"")=10,"",$B61)</f>
        <v>60</v>
      </c>
      <c r="F61" s="6">
        <f>IF(COUNTIF(Mac.DE110.Inp!$C61:$L61,"")=10,"",IF(Mac.DE110.Inp!$C61="","NULL",Mac.DE110.Inp!$C61))</f>
        <v>846</v>
      </c>
      <c r="G61" s="6">
        <f>IF(COUNTIF(Mac.DE110.Inp!$C61:$L61,"")=10,"",IF(Mac.DE110.Inp!$D61="","NULL",Mac.DE110.Inp!$D61))</f>
        <v>324</v>
      </c>
      <c r="H61" s="6">
        <f>IF(COUNTIF(Mac.DE110.Inp!$C61:$L61,"")=10,"",IF(Mac.DE110.Inp!$E61="","NULL",Mac.DE110.Inp!$E61))</f>
        <v>90</v>
      </c>
      <c r="I61" s="6">
        <f>IF(COUNTIF(Mac.DE110.Inp!$C61:$L61,"")=10,"",IF(Mac.DE110.Inp!$F61="","NULL",Mac.DE110.Inp!$F61))</f>
        <v>84</v>
      </c>
      <c r="J61" s="6" t="str">
        <f>IF(COUNTIF(Mac.DE110.Inp!$C61:$L61,"")=10,"",IF(Mac.DE110.Inp!$G61="","NULL",""""&amp;Mac.DE110.Inp!$G61&amp;""""))</f>
        <v>NULL</v>
      </c>
      <c r="K61" s="6" t="str">
        <f>IF(COUNTIF(Mac.DE110.Inp!$C61:$L61,"")=10,"",IF(Mac.DE110.Inp!$H61="","NULL",""""&amp;Mac.DE110.Inp!$H61&amp;""""))</f>
        <v>"RAlt"</v>
      </c>
      <c r="L61" s="6" t="str">
        <f>IF(COUNTIF(Mac.DE110.Inp!$C61:$L61,"")=10,"",IF(Mac.DE110.Inp!$I61="","NULL",""""&amp;Mac.DE110.Inp!$I61&amp;""""))</f>
        <v>NULL</v>
      </c>
      <c r="M61" s="6" t="str">
        <f>IF(COUNTIF(Mac.DE110.Inp!$C61:$L61,"")=10,"",IF(Mac.DE110.Inp!$J61="","NULL",""""&amp;Mac.DE110.Inp!$J61&amp;""""))</f>
        <v>NULL</v>
      </c>
      <c r="N61" s="6">
        <f>IF(COUNTIF(Mac.DE110.Inp!$C61:$L61,"")=10,"",IF(Mac.DE110.Inp!$K61="","NULL",Mac.DE110.Inp!$K61))</f>
        <v>0</v>
      </c>
      <c r="O61" s="6">
        <f>IF(COUNTIF(Mac.DE110.Inp!$C61:$L61,"")=10,"",IF(Mac.DE110.Inp!$L61="","NULL",Mac.DE110.Inp!$L61))</f>
        <v>0</v>
      </c>
      <c r="P61" s="7" t="str">
        <f>IF(COUNTIF(Mac.DE110.Inp!$C61:$L61,"")=10,"","("&amp;aconcat($C61:$O61,",")&amp;"),")</f>
        <v>(NULL,NULL,60,846,324,90,84,NULL,"RAlt",NULL,NULL,0,0),</v>
      </c>
    </row>
    <row r="62" spans="1:16" x14ac:dyDescent="0.3">
      <c r="A62" s="1" t="s">
        <v>218</v>
      </c>
      <c r="B62" s="1">
        <f t="shared" si="0"/>
        <v>61</v>
      </c>
      <c r="C62" s="6" t="str">
        <f>IF(COUNTIF(Mac.DE110.Inp!$C62:$L62,"")=10,"","NULL")</f>
        <v>NULL</v>
      </c>
      <c r="D62" s="6" t="str">
        <f>IF(COUNTIF(Mac.DE110.Inp!$C62:$L62,"")=10,"","NULL")</f>
        <v>NULL</v>
      </c>
      <c r="E62" s="6">
        <f>IF(COUNTIF(Mac.DE110.Inp!$C62:$L62,"")=10,"",$B62)</f>
        <v>61</v>
      </c>
      <c r="F62" s="6">
        <f>IF(COUNTIF(Mac.DE110.Inp!$C62:$L62,"")=10,"",IF(Mac.DE110.Inp!$C62="","NULL",Mac.DE110.Inp!$C62))</f>
        <v>1072</v>
      </c>
      <c r="G62" s="6">
        <f>IF(COUNTIF(Mac.DE110.Inp!$C62:$L62,"")=10,"",IF(Mac.DE110.Inp!$D62="","NULL",Mac.DE110.Inp!$D62))</f>
        <v>48</v>
      </c>
      <c r="H62" s="6">
        <f>IF(COUNTIF(Mac.DE110.Inp!$C62:$L62,"")=10,"",IF(Mac.DE110.Inp!$E62="","NULL",Mac.DE110.Inp!$E62))</f>
        <v>72</v>
      </c>
      <c r="I62" s="6">
        <f>IF(COUNTIF(Mac.DE110.Inp!$C62:$L62,"")=10,"",IF(Mac.DE110.Inp!$F62="","NULL",Mac.DE110.Inp!$F62))</f>
        <v>69</v>
      </c>
      <c r="J62" s="6" t="str">
        <f>IF(COUNTIF(Mac.DE110.Inp!$C62:$L62,"")=10,"",IF(Mac.DE110.Inp!$G62="","NULL",""""&amp;Mac.DE110.Inp!$G62&amp;""""))</f>
        <v>NULL</v>
      </c>
      <c r="K62" s="6" t="str">
        <f>IF(COUNTIF(Mac.DE110.Inp!$C62:$L62,"")=10,"",IF(Mac.DE110.Inp!$H62="","NULL",""""&amp;Mac.DE110.Inp!$H62&amp;""""))</f>
        <v>"fn"</v>
      </c>
      <c r="L62" s="6" t="str">
        <f>IF(COUNTIF(Mac.DE110.Inp!$C62:$L62,"")=10,"",IF(Mac.DE110.Inp!$I62="","NULL",""""&amp;Mac.DE110.Inp!$I62&amp;""""))</f>
        <v>NULL</v>
      </c>
      <c r="M62" s="6" t="str">
        <f>IF(COUNTIF(Mac.DE110.Inp!$C62:$L62,"")=10,"",IF(Mac.DE110.Inp!$J62="","NULL",""""&amp;Mac.DE110.Inp!$J62&amp;""""))</f>
        <v>NULL</v>
      </c>
      <c r="N62" s="6">
        <f>IF(COUNTIF(Mac.DE110.Inp!$C62:$L62,"")=10,"",IF(Mac.DE110.Inp!$K62="","NULL",Mac.DE110.Inp!$K62))</f>
        <v>0</v>
      </c>
      <c r="O62" s="6">
        <f>IF(COUNTIF(Mac.DE110.Inp!$C62:$L62,"")=10,"",IF(Mac.DE110.Inp!$L62="","NULL",Mac.DE110.Inp!$L62))</f>
        <v>0</v>
      </c>
      <c r="P62" s="7" t="str">
        <f>IF(COUNTIF(Mac.DE110.Inp!$C62:$L62,"")=10,"","("&amp;aconcat($C62:$O62,",")&amp;"),")</f>
        <v>(NULL,NULL,61,1072,48,72,69,NULL,"fn",NULL,NULL,0,0),</v>
      </c>
    </row>
    <row r="63" spans="1:16" x14ac:dyDescent="0.3">
      <c r="A63" s="1" t="s">
        <v>219</v>
      </c>
      <c r="B63" s="1">
        <f t="shared" si="0"/>
        <v>62</v>
      </c>
      <c r="C63" s="6" t="str">
        <f>IF(COUNTIF(Mac.DE110.Inp!$C63:$L63,"")=10,"","NULL")</f>
        <v>NULL</v>
      </c>
      <c r="D63" s="6" t="str">
        <f>IF(COUNTIF(Mac.DE110.Inp!$C63:$L63,"")=10,"","NULL")</f>
        <v>NULL</v>
      </c>
      <c r="E63" s="6">
        <f>IF(COUNTIF(Mac.DE110.Inp!$C63:$L63,"")=10,"",$B63)</f>
        <v>62</v>
      </c>
      <c r="F63" s="6">
        <f>IF(COUNTIF(Mac.DE110.Inp!$C63:$L63,"")=10,"",IF(Mac.DE110.Inp!$C63="","NULL",Mac.DE110.Inp!$C63))</f>
        <v>1072</v>
      </c>
      <c r="G63" s="6">
        <f>IF(COUNTIF(Mac.DE110.Inp!$C63:$L63,"")=10,"",IF(Mac.DE110.Inp!$D63="","NULL",Mac.DE110.Inp!$D63))</f>
        <v>117</v>
      </c>
      <c r="H63" s="6">
        <f>IF(COUNTIF(Mac.DE110.Inp!$C63:$L63,"")=10,"",IF(Mac.DE110.Inp!$E63="","NULL",Mac.DE110.Inp!$E63))</f>
        <v>72</v>
      </c>
      <c r="I63" s="6">
        <f>IF(COUNTIF(Mac.DE110.Inp!$C63:$L63,"")=10,"",IF(Mac.DE110.Inp!$F63="","NULL",Mac.DE110.Inp!$F63))</f>
        <v>69</v>
      </c>
      <c r="J63" s="6" t="str">
        <f>IF(COUNTIF(Mac.DE110.Inp!$C63:$L63,"")=10,"",IF(Mac.DE110.Inp!$G63="","NULL",""""&amp;Mac.DE110.Inp!$G63&amp;""""))</f>
        <v>NULL</v>
      </c>
      <c r="K63" s="6" t="str">
        <f>IF(COUNTIF(Mac.DE110.Inp!$C63:$L63,"")=10,"",IF(Mac.DE110.Inp!$H63="","NULL",""""&amp;Mac.DE110.Inp!$H63&amp;""""))</f>
        <v>"DeleteX"</v>
      </c>
      <c r="L63" s="6" t="str">
        <f>IF(COUNTIF(Mac.DE110.Inp!$C63:$L63,"")=10,"",IF(Mac.DE110.Inp!$I63="","NULL",""""&amp;Mac.DE110.Inp!$I63&amp;""""))</f>
        <v>NULL</v>
      </c>
      <c r="M63" s="6" t="str">
        <f>IF(COUNTIF(Mac.DE110.Inp!$C63:$L63,"")=10,"",IF(Mac.DE110.Inp!$J63="","NULL",""""&amp;Mac.DE110.Inp!$J63&amp;""""))</f>
        <v>NULL</v>
      </c>
      <c r="N63" s="6">
        <f>IF(COUNTIF(Mac.DE110.Inp!$C63:$L63,"")=10,"",IF(Mac.DE110.Inp!$K63="","NULL",Mac.DE110.Inp!$K63))</f>
        <v>0</v>
      </c>
      <c r="O63" s="6">
        <f>IF(COUNTIF(Mac.DE110.Inp!$C63:$L63,"")=10,"",IF(Mac.DE110.Inp!$L63="","NULL",Mac.DE110.Inp!$L63))</f>
        <v>0</v>
      </c>
      <c r="P63" s="7" t="str">
        <f>IF(COUNTIF(Mac.DE110.Inp!$C63:$L63,"")=10,"","("&amp;aconcat($C63:$O63,",")&amp;"),")</f>
        <v>(NULL,NULL,62,1072,117,72,69,NULL,"DeleteX",NULL,NULL,0,0),</v>
      </c>
    </row>
    <row r="64" spans="1:16" x14ac:dyDescent="0.3">
      <c r="A64" s="1" t="s">
        <v>123</v>
      </c>
      <c r="B64" s="1">
        <f t="shared" si="0"/>
        <v>63</v>
      </c>
      <c r="C64" s="6" t="str">
        <f>IF(COUNTIF(Mac.DE110.Inp!$C64:$L64,"")=10,"","NULL")</f>
        <v>NULL</v>
      </c>
      <c r="D64" s="6" t="str">
        <f>IF(COUNTIF(Mac.DE110.Inp!$C64:$L64,"")=10,"","NULL")</f>
        <v>NULL</v>
      </c>
      <c r="E64" s="6">
        <f>IF(COUNTIF(Mac.DE110.Inp!$C64:$L64,"")=10,"",$B64)</f>
        <v>63</v>
      </c>
      <c r="F64" s="6">
        <f>IF(COUNTIF(Mac.DE110.Inp!$C64:$L64,"")=10,"",IF(Mac.DE110.Inp!$C64="","NULL",Mac.DE110.Inp!$C64))</f>
        <v>1072</v>
      </c>
      <c r="G64" s="6">
        <f>IF(COUNTIF(Mac.DE110.Inp!$C64:$L64,"")=10,"",IF(Mac.DE110.Inp!$D64="","NULL",Mac.DE110.Inp!$D64))</f>
        <v>339</v>
      </c>
      <c r="H64" s="6">
        <f>IF(COUNTIF(Mac.DE110.Inp!$C64:$L64,"")=10,"",IF(Mac.DE110.Inp!$E64="","NULL",Mac.DE110.Inp!$E64))</f>
        <v>72</v>
      </c>
      <c r="I64" s="6">
        <f>IF(COUNTIF(Mac.DE110.Inp!$C64:$L64,"")=10,"",IF(Mac.DE110.Inp!$F64="","NULL",Mac.DE110.Inp!$F64))</f>
        <v>69</v>
      </c>
      <c r="J64" s="6" t="str">
        <f>IF(COUNTIF(Mac.DE110.Inp!$C64:$L64,"")=10,"",IF(Mac.DE110.Inp!$G64="","NULL",""""&amp;Mac.DE110.Inp!$G64&amp;""""))</f>
        <v>NULL</v>
      </c>
      <c r="K64" s="6" t="str">
        <f>IF(COUNTIF(Mac.DE110.Inp!$C64:$L64,"")=10,"",IF(Mac.DE110.Inp!$H64="","NULL",""""&amp;Mac.DE110.Inp!$H64&amp;""""))</f>
        <v>"Links"</v>
      </c>
      <c r="L64" s="6" t="str">
        <f>IF(COUNTIF(Mac.DE110.Inp!$C64:$L64,"")=10,"",IF(Mac.DE110.Inp!$I64="","NULL",""""&amp;Mac.DE110.Inp!$I64&amp;""""))</f>
        <v>NULL</v>
      </c>
      <c r="M64" s="6" t="str">
        <f>IF(COUNTIF(Mac.DE110.Inp!$C64:$L64,"")=10,"",IF(Mac.DE110.Inp!$J64="","NULL",""""&amp;Mac.DE110.Inp!$J64&amp;""""))</f>
        <v>NULL</v>
      </c>
      <c r="N64" s="6">
        <f>IF(COUNTIF(Mac.DE110.Inp!$C64:$L64,"")=10,"",IF(Mac.DE110.Inp!$K64="","NULL",Mac.DE110.Inp!$K64))</f>
        <v>0</v>
      </c>
      <c r="O64" s="6">
        <f>IF(COUNTIF(Mac.DE110.Inp!$C64:$L64,"")=10,"",IF(Mac.DE110.Inp!$L64="","NULL",Mac.DE110.Inp!$L64))</f>
        <v>0</v>
      </c>
      <c r="P64" s="7" t="str">
        <f>IF(COUNTIF(Mac.DE110.Inp!$C64:$L64,"")=10,"","("&amp;aconcat($C64:$O64,",")&amp;"),")</f>
        <v>(NULL,NULL,63,1072,339,72,69,NULL,"Links",NULL,NULL,0,0),</v>
      </c>
    </row>
    <row r="65" spans="1:16" x14ac:dyDescent="0.3">
      <c r="A65" s="1" t="s">
        <v>124</v>
      </c>
      <c r="B65" s="1">
        <f t="shared" si="0"/>
        <v>64</v>
      </c>
      <c r="C65" s="6" t="str">
        <f>IF(COUNTIF(Mac.DE110.Inp!$C65:$L65,"")=10,"","NULL")</f>
        <v>NULL</v>
      </c>
      <c r="D65" s="6" t="str">
        <f>IF(COUNTIF(Mac.DE110.Inp!$C65:$L65,"")=10,"","NULL")</f>
        <v>NULL</v>
      </c>
      <c r="E65" s="6">
        <f>IF(COUNTIF(Mac.DE110.Inp!$C65:$L65,"")=10,"",$B65)</f>
        <v>64</v>
      </c>
      <c r="F65" s="6">
        <f>IF(COUNTIF(Mac.DE110.Inp!$C65:$L65,"")=10,"",IF(Mac.DE110.Inp!$C65="","NULL",Mac.DE110.Inp!$C65))</f>
        <v>1144</v>
      </c>
      <c r="G65" s="6">
        <f>IF(COUNTIF(Mac.DE110.Inp!$C65:$L65,"")=10,"",IF(Mac.DE110.Inp!$D65="","NULL",Mac.DE110.Inp!$D65))</f>
        <v>48</v>
      </c>
      <c r="H65" s="6">
        <f>IF(COUNTIF(Mac.DE110.Inp!$C65:$L65,"")=10,"",IF(Mac.DE110.Inp!$E65="","NULL",Mac.DE110.Inp!$E65))</f>
        <v>72</v>
      </c>
      <c r="I65" s="6">
        <f>IF(COUNTIF(Mac.DE110.Inp!$C65:$L65,"")=10,"",IF(Mac.DE110.Inp!$F65="","NULL",Mac.DE110.Inp!$F65))</f>
        <v>69</v>
      </c>
      <c r="J65" s="6" t="str">
        <f>IF(COUNTIF(Mac.DE110.Inp!$C65:$L65,"")=10,"",IF(Mac.DE110.Inp!$G65="","NULL",""""&amp;Mac.DE110.Inp!$G65&amp;""""))</f>
        <v>NULL</v>
      </c>
      <c r="K65" s="6" t="str">
        <f>IF(COUNTIF(Mac.DE110.Inp!$C65:$L65,"")=10,"",IF(Mac.DE110.Inp!$H65="","NULL",""""&amp;Mac.DE110.Inp!$H65&amp;""""))</f>
        <v>"Pos 1"</v>
      </c>
      <c r="L65" s="6" t="str">
        <f>IF(COUNTIF(Mac.DE110.Inp!$C65:$L65,"")=10,"",IF(Mac.DE110.Inp!$I65="","NULL",""""&amp;Mac.DE110.Inp!$I65&amp;""""))</f>
        <v>NULL</v>
      </c>
      <c r="M65" s="6" t="str">
        <f>IF(COUNTIF(Mac.DE110.Inp!$C65:$L65,"")=10,"",IF(Mac.DE110.Inp!$J65="","NULL",""""&amp;Mac.DE110.Inp!$J65&amp;""""))</f>
        <v>NULL</v>
      </c>
      <c r="N65" s="6">
        <f>IF(COUNTIF(Mac.DE110.Inp!$C65:$L65,"")=10,"",IF(Mac.DE110.Inp!$K65="","NULL",Mac.DE110.Inp!$K65))</f>
        <v>0</v>
      </c>
      <c r="O65" s="6">
        <f>IF(COUNTIF(Mac.DE110.Inp!$C65:$L65,"")=10,"",IF(Mac.DE110.Inp!$L65="","NULL",Mac.DE110.Inp!$L65))</f>
        <v>0</v>
      </c>
      <c r="P65" s="7" t="str">
        <f>IF(COUNTIF(Mac.DE110.Inp!$C65:$L65,"")=10,"","("&amp;aconcat($C65:$O65,",")&amp;"),")</f>
        <v>(NULL,NULL,64,1144,48,72,69,NULL,"Pos 1",NULL,NULL,0,0),</v>
      </c>
    </row>
    <row r="66" spans="1:16" x14ac:dyDescent="0.3">
      <c r="A66" s="1" t="s">
        <v>125</v>
      </c>
      <c r="B66" s="1">
        <f t="shared" ref="B66:B119" si="1">ROW(B66)-1</f>
        <v>65</v>
      </c>
      <c r="C66" s="6" t="str">
        <f>IF(COUNTIF(Mac.DE110.Inp!$C66:$L66,"")=10,"","NULL")</f>
        <v>NULL</v>
      </c>
      <c r="D66" s="6" t="str">
        <f>IF(COUNTIF(Mac.DE110.Inp!$C66:$L66,"")=10,"","NULL")</f>
        <v>NULL</v>
      </c>
      <c r="E66" s="6">
        <f>IF(COUNTIF(Mac.DE110.Inp!$C66:$L66,"")=10,"",$B66)</f>
        <v>65</v>
      </c>
      <c r="F66" s="6">
        <f>IF(COUNTIF(Mac.DE110.Inp!$C66:$L66,"")=10,"",IF(Mac.DE110.Inp!$C66="","NULL",Mac.DE110.Inp!$C66))</f>
        <v>1144</v>
      </c>
      <c r="G66" s="6">
        <f>IF(COUNTIF(Mac.DE110.Inp!$C66:$L66,"")=10,"",IF(Mac.DE110.Inp!$D66="","NULL",Mac.DE110.Inp!$D66))</f>
        <v>117</v>
      </c>
      <c r="H66" s="6">
        <f>IF(COUNTIF(Mac.DE110.Inp!$C66:$L66,"")=10,"",IF(Mac.DE110.Inp!$E66="","NULL",Mac.DE110.Inp!$E66))</f>
        <v>72</v>
      </c>
      <c r="I66" s="6">
        <f>IF(COUNTIF(Mac.DE110.Inp!$C66:$L66,"")=10,"",IF(Mac.DE110.Inp!$F66="","NULL",Mac.DE110.Inp!$F66))</f>
        <v>69</v>
      </c>
      <c r="J66" s="6" t="str">
        <f>IF(COUNTIF(Mac.DE110.Inp!$C66:$L66,"")=10,"",IF(Mac.DE110.Inp!$G66="","NULL",""""&amp;Mac.DE110.Inp!$G66&amp;""""))</f>
        <v>NULL</v>
      </c>
      <c r="K66" s="6" t="str">
        <f>IF(COUNTIF(Mac.DE110.Inp!$C66:$L66,"")=10,"",IF(Mac.DE110.Inp!$H66="","NULL",""""&amp;Mac.DE110.Inp!$H66&amp;""""))</f>
        <v>"Ende"</v>
      </c>
      <c r="L66" s="6" t="str">
        <f>IF(COUNTIF(Mac.DE110.Inp!$C66:$L66,"")=10,"",IF(Mac.DE110.Inp!$I66="","NULL",""""&amp;Mac.DE110.Inp!$I66&amp;""""))</f>
        <v>NULL</v>
      </c>
      <c r="M66" s="6" t="str">
        <f>IF(COUNTIF(Mac.DE110.Inp!$C66:$L66,"")=10,"",IF(Mac.DE110.Inp!$J66="","NULL",""""&amp;Mac.DE110.Inp!$J66&amp;""""))</f>
        <v>NULL</v>
      </c>
      <c r="N66" s="6">
        <f>IF(COUNTIF(Mac.DE110.Inp!$C66:$L66,"")=10,"",IF(Mac.DE110.Inp!$K66="","NULL",Mac.DE110.Inp!$K66))</f>
        <v>0</v>
      </c>
      <c r="O66" s="6">
        <f>IF(COUNTIF(Mac.DE110.Inp!$C66:$L66,"")=10,"",IF(Mac.DE110.Inp!$L66="","NULL",Mac.DE110.Inp!$L66))</f>
        <v>0</v>
      </c>
      <c r="P66" s="7" t="str">
        <f>IF(COUNTIF(Mac.DE110.Inp!$C66:$L66,"")=10,"","("&amp;aconcat($C66:$O66,",")&amp;"),")</f>
        <v>(NULL,NULL,65,1144,117,72,69,NULL,"Ende",NULL,NULL,0,0),</v>
      </c>
    </row>
    <row r="67" spans="1:16" x14ac:dyDescent="0.3">
      <c r="A67" s="1" t="s">
        <v>126</v>
      </c>
      <c r="B67" s="1">
        <f t="shared" si="1"/>
        <v>66</v>
      </c>
      <c r="C67" s="6" t="str">
        <f>IF(COUNTIF(Mac.DE110.Inp!$C67:$L67,"")=10,"","NULL")</f>
        <v>NULL</v>
      </c>
      <c r="D67" s="6" t="str">
        <f>IF(COUNTIF(Mac.DE110.Inp!$C67:$L67,"")=10,"","NULL")</f>
        <v>NULL</v>
      </c>
      <c r="E67" s="6">
        <f>IF(COUNTIF(Mac.DE110.Inp!$C67:$L67,"")=10,"",$B67)</f>
        <v>66</v>
      </c>
      <c r="F67" s="6">
        <f>IF(COUNTIF(Mac.DE110.Inp!$C67:$L67,"")=10,"",IF(Mac.DE110.Inp!$C67="","NULL",Mac.DE110.Inp!$C67))</f>
        <v>1144</v>
      </c>
      <c r="G67" s="6">
        <f>IF(COUNTIF(Mac.DE110.Inp!$C67:$L67,"")=10,"",IF(Mac.DE110.Inp!$D67="","NULL",Mac.DE110.Inp!$D67))</f>
        <v>270</v>
      </c>
      <c r="H67" s="6">
        <f>IF(COUNTIF(Mac.DE110.Inp!$C67:$L67,"")=10,"",IF(Mac.DE110.Inp!$E67="","NULL",Mac.DE110.Inp!$E67))</f>
        <v>72</v>
      </c>
      <c r="I67" s="6">
        <f>IF(COUNTIF(Mac.DE110.Inp!$C67:$L67,"")=10,"",IF(Mac.DE110.Inp!$F67="","NULL",Mac.DE110.Inp!$F67))</f>
        <v>69</v>
      </c>
      <c r="J67" s="6" t="str">
        <f>IF(COUNTIF(Mac.DE110.Inp!$C67:$L67,"")=10,"",IF(Mac.DE110.Inp!$G67="","NULL",""""&amp;Mac.DE110.Inp!$G67&amp;""""))</f>
        <v>NULL</v>
      </c>
      <c r="K67" s="6" t="str">
        <f>IF(COUNTIF(Mac.DE110.Inp!$C67:$L67,"")=10,"",IF(Mac.DE110.Inp!$H67="","NULL",""""&amp;Mac.DE110.Inp!$H67&amp;""""))</f>
        <v>"Hoch"</v>
      </c>
      <c r="L67" s="6" t="str">
        <f>IF(COUNTIF(Mac.DE110.Inp!$C67:$L67,"")=10,"",IF(Mac.DE110.Inp!$I67="","NULL",""""&amp;Mac.DE110.Inp!$I67&amp;""""))</f>
        <v>NULL</v>
      </c>
      <c r="M67" s="6" t="str">
        <f>IF(COUNTIF(Mac.DE110.Inp!$C67:$L67,"")=10,"",IF(Mac.DE110.Inp!$J67="","NULL",""""&amp;Mac.DE110.Inp!$J67&amp;""""))</f>
        <v>NULL</v>
      </c>
      <c r="N67" s="6">
        <f>IF(COUNTIF(Mac.DE110.Inp!$C67:$L67,"")=10,"",IF(Mac.DE110.Inp!$K67="","NULL",Mac.DE110.Inp!$K67))</f>
        <v>0</v>
      </c>
      <c r="O67" s="6">
        <f>IF(COUNTIF(Mac.DE110.Inp!$C67:$L67,"")=10,"",IF(Mac.DE110.Inp!$L67="","NULL",Mac.DE110.Inp!$L67))</f>
        <v>0</v>
      </c>
      <c r="P67" s="7" t="str">
        <f>IF(COUNTIF(Mac.DE110.Inp!$C67:$L67,"")=10,"","("&amp;aconcat($C67:$O67,",")&amp;"),")</f>
        <v>(NULL,NULL,66,1144,270,72,69,NULL,"Hoch",NULL,NULL,0,0),</v>
      </c>
    </row>
    <row r="68" spans="1:16" x14ac:dyDescent="0.3">
      <c r="A68" s="1" t="s">
        <v>127</v>
      </c>
      <c r="B68" s="1">
        <f t="shared" si="1"/>
        <v>67</v>
      </c>
      <c r="C68" s="6" t="str">
        <f>IF(COUNTIF(Mac.DE110.Inp!$C68:$L68,"")=10,"","NULL")</f>
        <v>NULL</v>
      </c>
      <c r="D68" s="6" t="str">
        <f>IF(COUNTIF(Mac.DE110.Inp!$C68:$L68,"")=10,"","NULL")</f>
        <v>NULL</v>
      </c>
      <c r="E68" s="6">
        <f>IF(COUNTIF(Mac.DE110.Inp!$C68:$L68,"")=10,"",$B68)</f>
        <v>67</v>
      </c>
      <c r="F68" s="6">
        <f>IF(COUNTIF(Mac.DE110.Inp!$C68:$L68,"")=10,"",IF(Mac.DE110.Inp!$C68="","NULL",Mac.DE110.Inp!$C68))</f>
        <v>1144</v>
      </c>
      <c r="G68" s="6">
        <f>IF(COUNTIF(Mac.DE110.Inp!$C68:$L68,"")=10,"",IF(Mac.DE110.Inp!$D68="","NULL",Mac.DE110.Inp!$D68))</f>
        <v>339</v>
      </c>
      <c r="H68" s="6">
        <f>IF(COUNTIF(Mac.DE110.Inp!$C68:$L68,"")=10,"",IF(Mac.DE110.Inp!$E68="","NULL",Mac.DE110.Inp!$E68))</f>
        <v>72</v>
      </c>
      <c r="I68" s="6">
        <f>IF(COUNTIF(Mac.DE110.Inp!$C68:$L68,"")=10,"",IF(Mac.DE110.Inp!$F68="","NULL",Mac.DE110.Inp!$F68))</f>
        <v>69</v>
      </c>
      <c r="J68" s="6" t="str">
        <f>IF(COUNTIF(Mac.DE110.Inp!$C68:$L68,"")=10,"",IF(Mac.DE110.Inp!$G68="","NULL",""""&amp;Mac.DE110.Inp!$G68&amp;""""))</f>
        <v>NULL</v>
      </c>
      <c r="K68" s="6" t="str">
        <f>IF(COUNTIF(Mac.DE110.Inp!$C68:$L68,"")=10,"",IF(Mac.DE110.Inp!$H68="","NULL",""""&amp;Mac.DE110.Inp!$H68&amp;""""))</f>
        <v>"Runter"</v>
      </c>
      <c r="L68" s="6" t="str">
        <f>IF(COUNTIF(Mac.DE110.Inp!$C68:$L68,"")=10,"",IF(Mac.DE110.Inp!$I68="","NULL",""""&amp;Mac.DE110.Inp!$I68&amp;""""))</f>
        <v>NULL</v>
      </c>
      <c r="M68" s="6" t="str">
        <f>IF(COUNTIF(Mac.DE110.Inp!$C68:$L68,"")=10,"",IF(Mac.DE110.Inp!$J68="","NULL",""""&amp;Mac.DE110.Inp!$J68&amp;""""))</f>
        <v>NULL</v>
      </c>
      <c r="N68" s="6">
        <f>IF(COUNTIF(Mac.DE110.Inp!$C68:$L68,"")=10,"",IF(Mac.DE110.Inp!$K68="","NULL",Mac.DE110.Inp!$K68))</f>
        <v>0</v>
      </c>
      <c r="O68" s="6">
        <f>IF(COUNTIF(Mac.DE110.Inp!$C68:$L68,"")=10,"",IF(Mac.DE110.Inp!$L68="","NULL",Mac.DE110.Inp!$L68))</f>
        <v>0</v>
      </c>
      <c r="P68" s="7" t="str">
        <f>IF(COUNTIF(Mac.DE110.Inp!$C68:$L68,"")=10,"","("&amp;aconcat($C68:$O68,",")&amp;"),")</f>
        <v>(NULL,NULL,67,1144,339,72,69,NULL,"Runter",NULL,NULL,0,0),</v>
      </c>
    </row>
    <row r="69" spans="1:16" x14ac:dyDescent="0.3">
      <c r="A69" s="1" t="s">
        <v>128</v>
      </c>
      <c r="B69" s="1">
        <f t="shared" si="1"/>
        <v>68</v>
      </c>
      <c r="C69" s="6" t="str">
        <f>IF(COUNTIF(Mac.DE110.Inp!$C69:$L69,"")=10,"","NULL")</f>
        <v>NULL</v>
      </c>
      <c r="D69" s="6" t="str">
        <f>IF(COUNTIF(Mac.DE110.Inp!$C69:$L69,"")=10,"","NULL")</f>
        <v>NULL</v>
      </c>
      <c r="E69" s="6">
        <f>IF(COUNTIF(Mac.DE110.Inp!$C69:$L69,"")=10,"",$B69)</f>
        <v>68</v>
      </c>
      <c r="F69" s="6">
        <f>IF(COUNTIF(Mac.DE110.Inp!$C69:$L69,"")=10,"",IF(Mac.DE110.Inp!$C69="","NULL",Mac.DE110.Inp!$C69))</f>
        <v>1216</v>
      </c>
      <c r="G69" s="6">
        <f>IF(COUNTIF(Mac.DE110.Inp!$C69:$L69,"")=10,"",IF(Mac.DE110.Inp!$D69="","NULL",Mac.DE110.Inp!$D69))</f>
        <v>48</v>
      </c>
      <c r="H69" s="6">
        <f>IF(COUNTIF(Mac.DE110.Inp!$C69:$L69,"")=10,"",IF(Mac.DE110.Inp!$E69="","NULL",Mac.DE110.Inp!$E69))</f>
        <v>72</v>
      </c>
      <c r="I69" s="6">
        <f>IF(COUNTIF(Mac.DE110.Inp!$C69:$L69,"")=10,"",IF(Mac.DE110.Inp!$F69="","NULL",Mac.DE110.Inp!$F69))</f>
        <v>69</v>
      </c>
      <c r="J69" s="6" t="str">
        <f>IF(COUNTIF(Mac.DE110.Inp!$C69:$L69,"")=10,"",IF(Mac.DE110.Inp!$G69="","NULL",""""&amp;Mac.DE110.Inp!$G69&amp;""""))</f>
        <v>NULL</v>
      </c>
      <c r="K69" s="6" t="str">
        <f>IF(COUNTIF(Mac.DE110.Inp!$C69:$L69,"")=10,"",IF(Mac.DE110.Inp!$H69="","NULL",""""&amp;Mac.DE110.Inp!$H69&amp;""""))</f>
        <v>"Bild↑"</v>
      </c>
      <c r="L69" s="6" t="str">
        <f>IF(COUNTIF(Mac.DE110.Inp!$C69:$L69,"")=10,"",IF(Mac.DE110.Inp!$I69="","NULL",""""&amp;Mac.DE110.Inp!$I69&amp;""""))</f>
        <v>NULL</v>
      </c>
      <c r="M69" s="6" t="str">
        <f>IF(COUNTIF(Mac.DE110.Inp!$C69:$L69,"")=10,"",IF(Mac.DE110.Inp!$J69="","NULL",""""&amp;Mac.DE110.Inp!$J69&amp;""""))</f>
        <v>NULL</v>
      </c>
      <c r="N69" s="6">
        <f>IF(COUNTIF(Mac.DE110.Inp!$C69:$L69,"")=10,"",IF(Mac.DE110.Inp!$K69="","NULL",Mac.DE110.Inp!$K69))</f>
        <v>0</v>
      </c>
      <c r="O69" s="6">
        <f>IF(COUNTIF(Mac.DE110.Inp!$C69:$L69,"")=10,"",IF(Mac.DE110.Inp!$L69="","NULL",Mac.DE110.Inp!$L69))</f>
        <v>0</v>
      </c>
      <c r="P69" s="7" t="str">
        <f>IF(COUNTIF(Mac.DE110.Inp!$C69:$L69,"")=10,"","("&amp;aconcat($C69:$O69,",")&amp;"),")</f>
        <v>(NULL,NULL,68,1216,48,72,69,NULL,"Bild↑",NULL,NULL,0,0),</v>
      </c>
    </row>
    <row r="70" spans="1:16" x14ac:dyDescent="0.3">
      <c r="A70" s="1" t="s">
        <v>129</v>
      </c>
      <c r="B70" s="1">
        <f t="shared" si="1"/>
        <v>69</v>
      </c>
      <c r="C70" s="6" t="str">
        <f>IF(COUNTIF(Mac.DE110.Inp!$C70:$L70,"")=10,"","NULL")</f>
        <v>NULL</v>
      </c>
      <c r="D70" s="6" t="str">
        <f>IF(COUNTIF(Mac.DE110.Inp!$C70:$L70,"")=10,"","NULL")</f>
        <v>NULL</v>
      </c>
      <c r="E70" s="6">
        <f>IF(COUNTIF(Mac.DE110.Inp!$C70:$L70,"")=10,"",$B70)</f>
        <v>69</v>
      </c>
      <c r="F70" s="6">
        <f>IF(COUNTIF(Mac.DE110.Inp!$C70:$L70,"")=10,"",IF(Mac.DE110.Inp!$C70="","NULL",Mac.DE110.Inp!$C70))</f>
        <v>1216</v>
      </c>
      <c r="G70" s="6">
        <f>IF(COUNTIF(Mac.DE110.Inp!$C70:$L70,"")=10,"",IF(Mac.DE110.Inp!$D70="","NULL",Mac.DE110.Inp!$D70))</f>
        <v>117</v>
      </c>
      <c r="H70" s="6">
        <f>IF(COUNTIF(Mac.DE110.Inp!$C70:$L70,"")=10,"",IF(Mac.DE110.Inp!$E70="","NULL",Mac.DE110.Inp!$E70))</f>
        <v>72</v>
      </c>
      <c r="I70" s="6">
        <f>IF(COUNTIF(Mac.DE110.Inp!$C70:$L70,"")=10,"",IF(Mac.DE110.Inp!$F70="","NULL",Mac.DE110.Inp!$F70))</f>
        <v>69</v>
      </c>
      <c r="J70" s="6" t="str">
        <f>IF(COUNTIF(Mac.DE110.Inp!$C70:$L70,"")=10,"",IF(Mac.DE110.Inp!$G70="","NULL",""""&amp;Mac.DE110.Inp!$G70&amp;""""))</f>
        <v>NULL</v>
      </c>
      <c r="K70" s="6" t="str">
        <f>IF(COUNTIF(Mac.DE110.Inp!$C70:$L70,"")=10,"",IF(Mac.DE110.Inp!$H70="","NULL",""""&amp;Mac.DE110.Inp!$H70&amp;""""))</f>
        <v>"Bild↓"</v>
      </c>
      <c r="L70" s="6" t="str">
        <f>IF(COUNTIF(Mac.DE110.Inp!$C70:$L70,"")=10,"",IF(Mac.DE110.Inp!$I70="","NULL",""""&amp;Mac.DE110.Inp!$I70&amp;""""))</f>
        <v>NULL</v>
      </c>
      <c r="M70" s="6" t="str">
        <f>IF(COUNTIF(Mac.DE110.Inp!$C70:$L70,"")=10,"",IF(Mac.DE110.Inp!$J70="","NULL",""""&amp;Mac.DE110.Inp!$J70&amp;""""))</f>
        <v>NULL</v>
      </c>
      <c r="N70" s="6">
        <f>IF(COUNTIF(Mac.DE110.Inp!$C70:$L70,"")=10,"",IF(Mac.DE110.Inp!$K70="","NULL",Mac.DE110.Inp!$K70))</f>
        <v>0</v>
      </c>
      <c r="O70" s="6">
        <f>IF(COUNTIF(Mac.DE110.Inp!$C70:$L70,"")=10,"",IF(Mac.DE110.Inp!$L70="","NULL",Mac.DE110.Inp!$L70))</f>
        <v>0</v>
      </c>
      <c r="P70" s="7" t="str">
        <f>IF(COUNTIF(Mac.DE110.Inp!$C70:$L70,"")=10,"","("&amp;aconcat($C70:$O70,",")&amp;"),")</f>
        <v>(NULL,NULL,69,1216,117,72,69,NULL,"Bild↓",NULL,NULL,0,0),</v>
      </c>
    </row>
    <row r="71" spans="1:16" x14ac:dyDescent="0.3">
      <c r="A71" s="1" t="s">
        <v>130</v>
      </c>
      <c r="B71" s="1">
        <f t="shared" si="1"/>
        <v>70</v>
      </c>
      <c r="C71" s="6" t="str">
        <f>IF(COUNTIF(Mac.DE110.Inp!$C71:$L71,"")=10,"","NULL")</f>
        <v>NULL</v>
      </c>
      <c r="D71" s="6" t="str">
        <f>IF(COUNTIF(Mac.DE110.Inp!$C71:$L71,"")=10,"","NULL")</f>
        <v>NULL</v>
      </c>
      <c r="E71" s="6">
        <f>IF(COUNTIF(Mac.DE110.Inp!$C71:$L71,"")=10,"",$B71)</f>
        <v>70</v>
      </c>
      <c r="F71" s="6">
        <f>IF(COUNTIF(Mac.DE110.Inp!$C71:$L71,"")=10,"",IF(Mac.DE110.Inp!$C71="","NULL",Mac.DE110.Inp!$C71))</f>
        <v>1216</v>
      </c>
      <c r="G71" s="6">
        <f>IF(COUNTIF(Mac.DE110.Inp!$C71:$L71,"")=10,"",IF(Mac.DE110.Inp!$D71="","NULL",Mac.DE110.Inp!$D71))</f>
        <v>339</v>
      </c>
      <c r="H71" s="6">
        <f>IF(COUNTIF(Mac.DE110.Inp!$C71:$L71,"")=10,"",IF(Mac.DE110.Inp!$E71="","NULL",Mac.DE110.Inp!$E71))</f>
        <v>72</v>
      </c>
      <c r="I71" s="6">
        <f>IF(COUNTIF(Mac.DE110.Inp!$C71:$L71,"")=10,"",IF(Mac.DE110.Inp!$F71="","NULL",Mac.DE110.Inp!$F71))</f>
        <v>69</v>
      </c>
      <c r="J71" s="6" t="str">
        <f>IF(COUNTIF(Mac.DE110.Inp!$C71:$L71,"")=10,"",IF(Mac.DE110.Inp!$G71="","NULL",""""&amp;Mac.DE110.Inp!$G71&amp;""""))</f>
        <v>NULL</v>
      </c>
      <c r="K71" s="6" t="str">
        <f>IF(COUNTIF(Mac.DE110.Inp!$C71:$L71,"")=10,"",IF(Mac.DE110.Inp!$H71="","NULL",""""&amp;Mac.DE110.Inp!$H71&amp;""""))</f>
        <v>"Rechts"</v>
      </c>
      <c r="L71" s="6" t="str">
        <f>IF(COUNTIF(Mac.DE110.Inp!$C71:$L71,"")=10,"",IF(Mac.DE110.Inp!$I71="","NULL",""""&amp;Mac.DE110.Inp!$I71&amp;""""))</f>
        <v>NULL</v>
      </c>
      <c r="M71" s="6" t="str">
        <f>IF(COUNTIF(Mac.DE110.Inp!$C71:$L71,"")=10,"",IF(Mac.DE110.Inp!$J71="","NULL",""""&amp;Mac.DE110.Inp!$J71&amp;""""))</f>
        <v>NULL</v>
      </c>
      <c r="N71" s="6">
        <f>IF(COUNTIF(Mac.DE110.Inp!$C71:$L71,"")=10,"",IF(Mac.DE110.Inp!$K71="","NULL",Mac.DE110.Inp!$K71))</f>
        <v>0</v>
      </c>
      <c r="O71" s="6">
        <f>IF(COUNTIF(Mac.DE110.Inp!$C71:$L71,"")=10,"",IF(Mac.DE110.Inp!$L71="","NULL",Mac.DE110.Inp!$L71))</f>
        <v>0</v>
      </c>
      <c r="P71" s="7" t="str">
        <f>IF(COUNTIF(Mac.DE110.Inp!$C71:$L71,"")=10,"","("&amp;aconcat($C71:$O71,",")&amp;"),")</f>
        <v>(NULL,NULL,70,1216,339,72,69,NULL,"Rechts",NULL,NULL,0,0),</v>
      </c>
    </row>
    <row r="72" spans="1:16" x14ac:dyDescent="0.3">
      <c r="A72" s="1" t="s">
        <v>245</v>
      </c>
      <c r="B72" s="1">
        <f t="shared" si="1"/>
        <v>71</v>
      </c>
      <c r="C72" s="6" t="str">
        <f>IF(COUNTIF(Mac.DE110.Inp!$C72:$L72,"")=10,"","NULL")</f>
        <v>NULL</v>
      </c>
      <c r="D72" s="6" t="str">
        <f>IF(COUNTIF(Mac.DE110.Inp!$C72:$L72,"")=10,"","NULL")</f>
        <v>NULL</v>
      </c>
      <c r="E72" s="6">
        <f>IF(COUNTIF(Mac.DE110.Inp!$C72:$L72,"")=10,"",$B72)</f>
        <v>71</v>
      </c>
      <c r="F72" s="6">
        <f>IF(COUNTIF(Mac.DE110.Inp!$C72:$L72,"")=10,"",IF(Mac.DE110.Inp!$C72="","NULL",Mac.DE110.Inp!$C72))</f>
        <v>1316</v>
      </c>
      <c r="G72" s="6">
        <f>IF(COUNTIF(Mac.DE110.Inp!$C72:$L72,"")=10,"",IF(Mac.DE110.Inp!$D72="","NULL",Mac.DE110.Inp!$D72))</f>
        <v>48</v>
      </c>
      <c r="H72" s="6">
        <f>IF(COUNTIF(Mac.DE110.Inp!$C72:$L72,"")=10,"",IF(Mac.DE110.Inp!$E72="","NULL",Mac.DE110.Inp!$E72))</f>
        <v>72</v>
      </c>
      <c r="I72" s="6">
        <f>IF(COUNTIF(Mac.DE110.Inp!$C72:$L72,"")=10,"",IF(Mac.DE110.Inp!$F72="","NULL",Mac.DE110.Inp!$F72))</f>
        <v>69</v>
      </c>
      <c r="J72" s="6" t="str">
        <f>IF(COUNTIF(Mac.DE110.Inp!$C72:$L72,"")=10,"",IF(Mac.DE110.Inp!$G72="","NULL",""""&amp;Mac.DE110.Inp!$G72&amp;""""))</f>
        <v>NULL</v>
      </c>
      <c r="K72" s="6" t="str">
        <f>IF(COUNTIF(Mac.DE110.Inp!$C72:$L72,"")=10,"",IF(Mac.DE110.Inp!$H72="","NULL",""""&amp;Mac.DE110.Inp!$H72&amp;""""))</f>
        <v>"Clear"</v>
      </c>
      <c r="L72" s="6" t="str">
        <f>IF(COUNTIF(Mac.DE110.Inp!$C72:$L72,"")=10,"",IF(Mac.DE110.Inp!$I72="","NULL",""""&amp;Mac.DE110.Inp!$I72&amp;""""))</f>
        <v>NULL</v>
      </c>
      <c r="M72" s="6" t="str">
        <f>IF(COUNTIF(Mac.DE110.Inp!$C72:$L72,"")=10,"",IF(Mac.DE110.Inp!$J72="","NULL",""""&amp;Mac.DE110.Inp!$J72&amp;""""))</f>
        <v>NULL</v>
      </c>
      <c r="N72" s="6">
        <f>IF(COUNTIF(Mac.DE110.Inp!$C72:$L72,"")=10,"",IF(Mac.DE110.Inp!$K72="","NULL",Mac.DE110.Inp!$K72))</f>
        <v>0</v>
      </c>
      <c r="O72" s="6">
        <f>IF(COUNTIF(Mac.DE110.Inp!$C72:$L72,"")=10,"",IF(Mac.DE110.Inp!$L72="","NULL",Mac.DE110.Inp!$L72))</f>
        <v>1</v>
      </c>
      <c r="P72" s="7" t="str">
        <f>IF(COUNTIF(Mac.DE110.Inp!$C72:$L72,"")=10,"","("&amp;aconcat($C72:$O72,",")&amp;"),")</f>
        <v>(NULL,NULL,71,1316,48,72,69,NULL,"Clear",NULL,NULL,0,1),</v>
      </c>
    </row>
    <row r="73" spans="1:16" x14ac:dyDescent="0.3">
      <c r="A73" s="1" t="s">
        <v>124</v>
      </c>
      <c r="B73" s="1">
        <f t="shared" si="1"/>
        <v>72</v>
      </c>
      <c r="C73" s="6" t="str">
        <f>IF(COUNTIF(Mac.DE110.Inp!$C73:$L73,"")=10,"","NULL")</f>
        <v>NULL</v>
      </c>
      <c r="D73" s="6" t="str">
        <f>IF(COUNTIF(Mac.DE110.Inp!$C73:$L73,"")=10,"","NULL")</f>
        <v>NULL</v>
      </c>
      <c r="E73" s="6">
        <f>IF(COUNTIF(Mac.DE110.Inp!$C73:$L73,"")=10,"",$B73)</f>
        <v>72</v>
      </c>
      <c r="F73" s="6">
        <f>IF(COUNTIF(Mac.DE110.Inp!$C73:$L73,"")=10,"",IF(Mac.DE110.Inp!$C73="","NULL",Mac.DE110.Inp!$C73))</f>
        <v>1316</v>
      </c>
      <c r="G73" s="6">
        <f>IF(COUNTIF(Mac.DE110.Inp!$C73:$L73,"")=10,"",IF(Mac.DE110.Inp!$D73="","NULL",Mac.DE110.Inp!$D73))</f>
        <v>117</v>
      </c>
      <c r="H73" s="6">
        <f>IF(COUNTIF(Mac.DE110.Inp!$C73:$L73,"")=10,"",IF(Mac.DE110.Inp!$E73="","NULL",Mac.DE110.Inp!$E73))</f>
        <v>72</v>
      </c>
      <c r="I73" s="6">
        <f>IF(COUNTIF(Mac.DE110.Inp!$C73:$L73,"")=10,"",IF(Mac.DE110.Inp!$F73="","NULL",Mac.DE110.Inp!$F73))</f>
        <v>69</v>
      </c>
      <c r="J73" s="6" t="str">
        <f>IF(COUNTIF(Mac.DE110.Inp!$C73:$L73,"")=10,"",IF(Mac.DE110.Inp!$G73="","NULL",""""&amp;Mac.DE110.Inp!$G73&amp;""""))</f>
        <v>"7"</v>
      </c>
      <c r="K73" s="6" t="str">
        <f>IF(COUNTIF(Mac.DE110.Inp!$C73:$L73,"")=10,"",IF(Mac.DE110.Inp!$H73="","NULL",""""&amp;Mac.DE110.Inp!$H73&amp;""""))</f>
        <v>"Pos 1"</v>
      </c>
      <c r="L73" s="6" t="str">
        <f>IF(COUNTIF(Mac.DE110.Inp!$C73:$L73,"")=10,"",IF(Mac.DE110.Inp!$I73="","NULL",""""&amp;Mac.DE110.Inp!$I73&amp;""""))</f>
        <v>NULL</v>
      </c>
      <c r="M73" s="6" t="str">
        <f>IF(COUNTIF(Mac.DE110.Inp!$C73:$L73,"")=10,"",IF(Mac.DE110.Inp!$J73="","NULL",""""&amp;Mac.DE110.Inp!$J73&amp;""""))</f>
        <v>NULL</v>
      </c>
      <c r="N73" s="6">
        <f>IF(COUNTIF(Mac.DE110.Inp!$C73:$L73,"")=10,"",IF(Mac.DE110.Inp!$K73="","NULL",Mac.DE110.Inp!$K73))</f>
        <v>0</v>
      </c>
      <c r="O73" s="6">
        <f>IF(COUNTIF(Mac.DE110.Inp!$C73:$L73,"")=10,"",IF(Mac.DE110.Inp!$L73="","NULL",Mac.DE110.Inp!$L73))</f>
        <v>1</v>
      </c>
      <c r="P73" s="7" t="str">
        <f>IF(COUNTIF(Mac.DE110.Inp!$C73:$L73,"")=10,"","("&amp;aconcat($C73:$O73,",")&amp;"),")</f>
        <v>(NULL,NULL,72,1316,117,72,69,"7","Pos 1",NULL,NULL,0,1),</v>
      </c>
    </row>
    <row r="74" spans="1:16" x14ac:dyDescent="0.3">
      <c r="A74" s="1" t="s">
        <v>123</v>
      </c>
      <c r="B74" s="1">
        <f t="shared" si="1"/>
        <v>73</v>
      </c>
      <c r="C74" s="6" t="str">
        <f>IF(COUNTIF(Mac.DE110.Inp!$C74:$L74,"")=10,"","NULL")</f>
        <v>NULL</v>
      </c>
      <c r="D74" s="6" t="str">
        <f>IF(COUNTIF(Mac.DE110.Inp!$C74:$L74,"")=10,"","NULL")</f>
        <v>NULL</v>
      </c>
      <c r="E74" s="6">
        <f>IF(COUNTIF(Mac.DE110.Inp!$C74:$L74,"")=10,"",$B74)</f>
        <v>73</v>
      </c>
      <c r="F74" s="6">
        <f>IF(COUNTIF(Mac.DE110.Inp!$C74:$L74,"")=10,"",IF(Mac.DE110.Inp!$C74="","NULL",Mac.DE110.Inp!$C74))</f>
        <v>1316</v>
      </c>
      <c r="G74" s="6">
        <f>IF(COUNTIF(Mac.DE110.Inp!$C74:$L74,"")=10,"",IF(Mac.DE110.Inp!$D74="","NULL",Mac.DE110.Inp!$D74))</f>
        <v>186</v>
      </c>
      <c r="H74" s="6">
        <f>IF(COUNTIF(Mac.DE110.Inp!$C74:$L74,"")=10,"",IF(Mac.DE110.Inp!$E74="","NULL",Mac.DE110.Inp!$E74))</f>
        <v>72</v>
      </c>
      <c r="I74" s="6">
        <f>IF(COUNTIF(Mac.DE110.Inp!$C74:$L74,"")=10,"",IF(Mac.DE110.Inp!$F74="","NULL",Mac.DE110.Inp!$F74))</f>
        <v>69</v>
      </c>
      <c r="J74" s="6" t="str">
        <f>IF(COUNTIF(Mac.DE110.Inp!$C74:$L74,"")=10,"",IF(Mac.DE110.Inp!$G74="","NULL",""""&amp;Mac.DE110.Inp!$G74&amp;""""))</f>
        <v>"4"</v>
      </c>
      <c r="K74" s="6" t="str">
        <f>IF(COUNTIF(Mac.DE110.Inp!$C74:$L74,"")=10,"",IF(Mac.DE110.Inp!$H74="","NULL",""""&amp;Mac.DE110.Inp!$H74&amp;""""))</f>
        <v>"Links"</v>
      </c>
      <c r="L74" s="6" t="str">
        <f>IF(COUNTIF(Mac.DE110.Inp!$C74:$L74,"")=10,"",IF(Mac.DE110.Inp!$I74="","NULL",""""&amp;Mac.DE110.Inp!$I74&amp;""""))</f>
        <v>NULL</v>
      </c>
      <c r="M74" s="6" t="str">
        <f>IF(COUNTIF(Mac.DE110.Inp!$C74:$L74,"")=10,"",IF(Mac.DE110.Inp!$J74="","NULL",""""&amp;Mac.DE110.Inp!$J74&amp;""""))</f>
        <v>NULL</v>
      </c>
      <c r="N74" s="6">
        <f>IF(COUNTIF(Mac.DE110.Inp!$C74:$L74,"")=10,"",IF(Mac.DE110.Inp!$K74="","NULL",Mac.DE110.Inp!$K74))</f>
        <v>0</v>
      </c>
      <c r="O74" s="6">
        <f>IF(COUNTIF(Mac.DE110.Inp!$C74:$L74,"")=10,"",IF(Mac.DE110.Inp!$L74="","NULL",Mac.DE110.Inp!$L74))</f>
        <v>1</v>
      </c>
      <c r="P74" s="7" t="str">
        <f>IF(COUNTIF(Mac.DE110.Inp!$C74:$L74,"")=10,"","("&amp;aconcat($C74:$O74,",")&amp;"),")</f>
        <v>(NULL,NULL,73,1316,186,72,69,"4","Links",NULL,NULL,0,1),</v>
      </c>
    </row>
    <row r="75" spans="1:16" x14ac:dyDescent="0.3">
      <c r="A75" s="1" t="s">
        <v>125</v>
      </c>
      <c r="B75" s="1">
        <f t="shared" si="1"/>
        <v>74</v>
      </c>
      <c r="C75" s="6" t="str">
        <f>IF(COUNTIF(Mac.DE110.Inp!$C75:$L75,"")=10,"","NULL")</f>
        <v>NULL</v>
      </c>
      <c r="D75" s="6" t="str">
        <f>IF(COUNTIF(Mac.DE110.Inp!$C75:$L75,"")=10,"","NULL")</f>
        <v>NULL</v>
      </c>
      <c r="E75" s="6">
        <f>IF(COUNTIF(Mac.DE110.Inp!$C75:$L75,"")=10,"",$B75)</f>
        <v>74</v>
      </c>
      <c r="F75" s="6">
        <f>IF(COUNTIF(Mac.DE110.Inp!$C75:$L75,"")=10,"",IF(Mac.DE110.Inp!$C75="","NULL",Mac.DE110.Inp!$C75))</f>
        <v>1316</v>
      </c>
      <c r="G75" s="6">
        <f>IF(COUNTIF(Mac.DE110.Inp!$C75:$L75,"")=10,"",IF(Mac.DE110.Inp!$D75="","NULL",Mac.DE110.Inp!$D75))</f>
        <v>255</v>
      </c>
      <c r="H75" s="6">
        <f>IF(COUNTIF(Mac.DE110.Inp!$C75:$L75,"")=10,"",IF(Mac.DE110.Inp!$E75="","NULL",Mac.DE110.Inp!$E75))</f>
        <v>72</v>
      </c>
      <c r="I75" s="6">
        <f>IF(COUNTIF(Mac.DE110.Inp!$C75:$L75,"")=10,"",IF(Mac.DE110.Inp!$F75="","NULL",Mac.DE110.Inp!$F75))</f>
        <v>69</v>
      </c>
      <c r="J75" s="6" t="str">
        <f>IF(COUNTIF(Mac.DE110.Inp!$C75:$L75,"")=10,"",IF(Mac.DE110.Inp!$G75="","NULL",""""&amp;Mac.DE110.Inp!$G75&amp;""""))</f>
        <v>"1"</v>
      </c>
      <c r="K75" s="6" t="str">
        <f>IF(COUNTIF(Mac.DE110.Inp!$C75:$L75,"")=10,"",IF(Mac.DE110.Inp!$H75="","NULL",""""&amp;Mac.DE110.Inp!$H75&amp;""""))</f>
        <v>"Ende"</v>
      </c>
      <c r="L75" s="6" t="str">
        <f>IF(COUNTIF(Mac.DE110.Inp!$C75:$L75,"")=10,"",IF(Mac.DE110.Inp!$I75="","NULL",""""&amp;Mac.DE110.Inp!$I75&amp;""""))</f>
        <v>NULL</v>
      </c>
      <c r="M75" s="6" t="str">
        <f>IF(COUNTIF(Mac.DE110.Inp!$C75:$L75,"")=10,"",IF(Mac.DE110.Inp!$J75="","NULL",""""&amp;Mac.DE110.Inp!$J75&amp;""""))</f>
        <v>NULL</v>
      </c>
      <c r="N75" s="6">
        <f>IF(COUNTIF(Mac.DE110.Inp!$C75:$L75,"")=10,"",IF(Mac.DE110.Inp!$K75="","NULL",Mac.DE110.Inp!$K75))</f>
        <v>0</v>
      </c>
      <c r="O75" s="6">
        <f>IF(COUNTIF(Mac.DE110.Inp!$C75:$L75,"")=10,"",IF(Mac.DE110.Inp!$L75="","NULL",Mac.DE110.Inp!$L75))</f>
        <v>1</v>
      </c>
      <c r="P75" s="7" t="str">
        <f>IF(COUNTIF(Mac.DE110.Inp!$C75:$L75,"")=10,"","("&amp;aconcat($C75:$O75,",")&amp;"),")</f>
        <v>(NULL,NULL,74,1316,255,72,69,"1","Ende",NULL,NULL,0,1),</v>
      </c>
    </row>
    <row r="76" spans="1:16" x14ac:dyDescent="0.3">
      <c r="A76" s="1" t="s">
        <v>132</v>
      </c>
      <c r="B76" s="1">
        <f t="shared" si="1"/>
        <v>75</v>
      </c>
      <c r="C76" s="6" t="str">
        <f>IF(COUNTIF(Mac.DE110.Inp!$C76:$L76,"")=10,"","NULL")</f>
        <v>NULL</v>
      </c>
      <c r="D76" s="6" t="str">
        <f>IF(COUNTIF(Mac.DE110.Inp!$C76:$L76,"")=10,"","NULL")</f>
        <v>NULL</v>
      </c>
      <c r="E76" s="6">
        <f>IF(COUNTIF(Mac.DE110.Inp!$C76:$L76,"")=10,"",$B76)</f>
        <v>75</v>
      </c>
      <c r="F76" s="6">
        <f>IF(COUNTIF(Mac.DE110.Inp!$C76:$L76,"")=10,"",IF(Mac.DE110.Inp!$C76="","NULL",Mac.DE110.Inp!$C76))</f>
        <v>1460</v>
      </c>
      <c r="G76" s="6">
        <f>IF(COUNTIF(Mac.DE110.Inp!$C76:$L76,"")=10,"",IF(Mac.DE110.Inp!$D76="","NULL",Mac.DE110.Inp!$D76))</f>
        <v>48</v>
      </c>
      <c r="H76" s="6">
        <f>IF(COUNTIF(Mac.DE110.Inp!$C76:$L76,"")=10,"",IF(Mac.DE110.Inp!$E76="","NULL",Mac.DE110.Inp!$E76))</f>
        <v>72</v>
      </c>
      <c r="I76" s="6">
        <f>IF(COUNTIF(Mac.DE110.Inp!$C76:$L76,"")=10,"",IF(Mac.DE110.Inp!$F76="","NULL",Mac.DE110.Inp!$F76))</f>
        <v>69</v>
      </c>
      <c r="J76" s="6" t="str">
        <f>IF(COUNTIF(Mac.DE110.Inp!$C76:$L76,"")=10,"",IF(Mac.DE110.Inp!$G76="","NULL",""""&amp;Mac.DE110.Inp!$G76&amp;""""))</f>
        <v>NULL</v>
      </c>
      <c r="K76" s="6" t="str">
        <f>IF(COUNTIF(Mac.DE110.Inp!$C76:$L76,"")=10,"",IF(Mac.DE110.Inp!$H76="","NULL",""""&amp;Mac.DE110.Inp!$H76&amp;""""))</f>
        <v>"÷"</v>
      </c>
      <c r="L76" s="6" t="str">
        <f>IF(COUNTIF(Mac.DE110.Inp!$C76:$L76,"")=10,"",IF(Mac.DE110.Inp!$I76="","NULL",""""&amp;Mac.DE110.Inp!$I76&amp;""""))</f>
        <v>NULL</v>
      </c>
      <c r="M76" s="6" t="str">
        <f>IF(COUNTIF(Mac.DE110.Inp!$C76:$L76,"")=10,"",IF(Mac.DE110.Inp!$J76="","NULL",""""&amp;Mac.DE110.Inp!$J76&amp;""""))</f>
        <v>NULL</v>
      </c>
      <c r="N76" s="6">
        <f>IF(COUNTIF(Mac.DE110.Inp!$C76:$L76,"")=10,"",IF(Mac.DE110.Inp!$K76="","NULL",Mac.DE110.Inp!$K76))</f>
        <v>0</v>
      </c>
      <c r="O76" s="6">
        <f>IF(COUNTIF(Mac.DE110.Inp!$C76:$L76,"")=10,"",IF(Mac.DE110.Inp!$L76="","NULL",Mac.DE110.Inp!$L76))</f>
        <v>1</v>
      </c>
      <c r="P76" s="7" t="str">
        <f>IF(COUNTIF(Mac.DE110.Inp!$C76:$L76,"")=10,"","("&amp;aconcat($C76:$O76,",")&amp;"),")</f>
        <v>(NULL,NULL,75,1460,48,72,69,NULL,"÷",NULL,NULL,0,1),</v>
      </c>
    </row>
    <row r="77" spans="1:16" x14ac:dyDescent="0.3">
      <c r="A77" s="1" t="s">
        <v>126</v>
      </c>
      <c r="B77" s="1">
        <f t="shared" si="1"/>
        <v>76</v>
      </c>
      <c r="C77" s="6" t="str">
        <f>IF(COUNTIF(Mac.DE110.Inp!$C77:$L77,"")=10,"","NULL")</f>
        <v>NULL</v>
      </c>
      <c r="D77" s="6" t="str">
        <f>IF(COUNTIF(Mac.DE110.Inp!$C77:$L77,"")=10,"","NULL")</f>
        <v>NULL</v>
      </c>
      <c r="E77" s="6">
        <f>IF(COUNTIF(Mac.DE110.Inp!$C77:$L77,"")=10,"",$B77)</f>
        <v>76</v>
      </c>
      <c r="F77" s="6">
        <f>IF(COUNTIF(Mac.DE110.Inp!$C77:$L77,"")=10,"",IF(Mac.DE110.Inp!$C77="","NULL",Mac.DE110.Inp!$C77))</f>
        <v>1388</v>
      </c>
      <c r="G77" s="6">
        <f>IF(COUNTIF(Mac.DE110.Inp!$C77:$L77,"")=10,"",IF(Mac.DE110.Inp!$D77="","NULL",Mac.DE110.Inp!$D77))</f>
        <v>117</v>
      </c>
      <c r="H77" s="6">
        <f>IF(COUNTIF(Mac.DE110.Inp!$C77:$L77,"")=10,"",IF(Mac.DE110.Inp!$E77="","NULL",Mac.DE110.Inp!$E77))</f>
        <v>72</v>
      </c>
      <c r="I77" s="6">
        <f>IF(COUNTIF(Mac.DE110.Inp!$C77:$L77,"")=10,"",IF(Mac.DE110.Inp!$F77="","NULL",Mac.DE110.Inp!$F77))</f>
        <v>69</v>
      </c>
      <c r="J77" s="6" t="str">
        <f>IF(COUNTIF(Mac.DE110.Inp!$C77:$L77,"")=10,"",IF(Mac.DE110.Inp!$G77="","NULL",""""&amp;Mac.DE110.Inp!$G77&amp;""""))</f>
        <v>"8"</v>
      </c>
      <c r="K77" s="6" t="str">
        <f>IF(COUNTIF(Mac.DE110.Inp!$C77:$L77,"")=10,"",IF(Mac.DE110.Inp!$H77="","NULL",""""&amp;Mac.DE110.Inp!$H77&amp;""""))</f>
        <v>"Hoch"</v>
      </c>
      <c r="L77" s="6" t="str">
        <f>IF(COUNTIF(Mac.DE110.Inp!$C77:$L77,"")=10,"",IF(Mac.DE110.Inp!$I77="","NULL",""""&amp;Mac.DE110.Inp!$I77&amp;""""))</f>
        <v>NULL</v>
      </c>
      <c r="M77" s="6" t="str">
        <f>IF(COUNTIF(Mac.DE110.Inp!$C77:$L77,"")=10,"",IF(Mac.DE110.Inp!$J77="","NULL",""""&amp;Mac.DE110.Inp!$J77&amp;""""))</f>
        <v>NULL</v>
      </c>
      <c r="N77" s="6">
        <f>IF(COUNTIF(Mac.DE110.Inp!$C77:$L77,"")=10,"",IF(Mac.DE110.Inp!$K77="","NULL",Mac.DE110.Inp!$K77))</f>
        <v>0</v>
      </c>
      <c r="O77" s="6">
        <f>IF(COUNTIF(Mac.DE110.Inp!$C77:$L77,"")=10,"",IF(Mac.DE110.Inp!$L77="","NULL",Mac.DE110.Inp!$L77))</f>
        <v>1</v>
      </c>
      <c r="P77" s="7" t="str">
        <f>IF(COUNTIF(Mac.DE110.Inp!$C77:$L77,"")=10,"","("&amp;aconcat($C77:$O77,",")&amp;"),")</f>
        <v>(NULL,NULL,76,1388,117,72,69,"8","Hoch",NULL,NULL,0,1),</v>
      </c>
    </row>
    <row r="78" spans="1:16" x14ac:dyDescent="0.3">
      <c r="A78" s="1"/>
      <c r="B78" s="1">
        <f t="shared" si="1"/>
        <v>77</v>
      </c>
      <c r="C78" s="6" t="str">
        <f>IF(COUNTIF(Mac.DE110.Inp!$C78:$L78,"")=10,"","NULL")</f>
        <v>NULL</v>
      </c>
      <c r="D78" s="6" t="str">
        <f>IF(COUNTIF(Mac.DE110.Inp!$C78:$L78,"")=10,"","NULL")</f>
        <v>NULL</v>
      </c>
      <c r="E78" s="6">
        <f>IF(COUNTIF(Mac.DE110.Inp!$C78:$L78,"")=10,"",$B78)</f>
        <v>77</v>
      </c>
      <c r="F78" s="6">
        <f>IF(COUNTIF(Mac.DE110.Inp!$C78:$L78,"")=10,"",IF(Mac.DE110.Inp!$C78="","NULL",Mac.DE110.Inp!$C78))</f>
        <v>1388</v>
      </c>
      <c r="G78" s="6">
        <f>IF(COUNTIF(Mac.DE110.Inp!$C78:$L78,"")=10,"",IF(Mac.DE110.Inp!$D78="","NULL",Mac.DE110.Inp!$D78))</f>
        <v>186</v>
      </c>
      <c r="H78" s="6">
        <f>IF(COUNTIF(Mac.DE110.Inp!$C78:$L78,"")=10,"",IF(Mac.DE110.Inp!$E78="","NULL",Mac.DE110.Inp!$E78))</f>
        <v>72</v>
      </c>
      <c r="I78" s="6">
        <f>IF(COUNTIF(Mac.DE110.Inp!$C78:$L78,"")=10,"",IF(Mac.DE110.Inp!$F78="","NULL",Mac.DE110.Inp!$F78))</f>
        <v>69</v>
      </c>
      <c r="J78" s="6" t="str">
        <f>IF(COUNTIF(Mac.DE110.Inp!$C78:$L78,"")=10,"",IF(Mac.DE110.Inp!$G78="","NULL",""""&amp;Mac.DE110.Inp!$G78&amp;""""))</f>
        <v>"5"</v>
      </c>
      <c r="K78" s="6" t="str">
        <f>IF(COUNTIF(Mac.DE110.Inp!$C78:$L78,"")=10,"",IF(Mac.DE110.Inp!$H78="","NULL",""""&amp;Mac.DE110.Inp!$H78&amp;""""))</f>
        <v>NULL</v>
      </c>
      <c r="L78" s="6" t="str">
        <f>IF(COUNTIF(Mac.DE110.Inp!$C78:$L78,"")=10,"",IF(Mac.DE110.Inp!$I78="","NULL",""""&amp;Mac.DE110.Inp!$I78&amp;""""))</f>
        <v>NULL</v>
      </c>
      <c r="M78" s="6" t="str">
        <f>IF(COUNTIF(Mac.DE110.Inp!$C78:$L78,"")=10,"",IF(Mac.DE110.Inp!$J78="","NULL",""""&amp;Mac.DE110.Inp!$J78&amp;""""))</f>
        <v>NULL</v>
      </c>
      <c r="N78" s="6">
        <f>IF(COUNTIF(Mac.DE110.Inp!$C78:$L78,"")=10,"",IF(Mac.DE110.Inp!$K78="","NULL",Mac.DE110.Inp!$K78))</f>
        <v>0</v>
      </c>
      <c r="O78" s="6">
        <f>IF(COUNTIF(Mac.DE110.Inp!$C78:$L78,"")=10,"",IF(Mac.DE110.Inp!$L78="","NULL",Mac.DE110.Inp!$L78))</f>
        <v>1</v>
      </c>
      <c r="P78" s="7" t="str">
        <f>IF(COUNTIF(Mac.DE110.Inp!$C78:$L78,"")=10,"","("&amp;aconcat($C78:$O78,",")&amp;"),")</f>
        <v>(NULL,NULL,77,1388,186,72,69,"5",NULL,NULL,NULL,0,1),</v>
      </c>
    </row>
    <row r="79" spans="1:16" x14ac:dyDescent="0.3">
      <c r="A79" s="1" t="s">
        <v>127</v>
      </c>
      <c r="B79" s="1">
        <f t="shared" si="1"/>
        <v>78</v>
      </c>
      <c r="C79" s="6" t="str">
        <f>IF(COUNTIF(Mac.DE110.Inp!$C79:$L79,"")=10,"","NULL")</f>
        <v>NULL</v>
      </c>
      <c r="D79" s="6" t="str">
        <f>IF(COUNTIF(Mac.DE110.Inp!$C79:$L79,"")=10,"","NULL")</f>
        <v>NULL</v>
      </c>
      <c r="E79" s="6">
        <f>IF(COUNTIF(Mac.DE110.Inp!$C79:$L79,"")=10,"",$B79)</f>
        <v>78</v>
      </c>
      <c r="F79" s="6">
        <f>IF(COUNTIF(Mac.DE110.Inp!$C79:$L79,"")=10,"",IF(Mac.DE110.Inp!$C79="","NULL",Mac.DE110.Inp!$C79))</f>
        <v>1388</v>
      </c>
      <c r="G79" s="6">
        <f>IF(COUNTIF(Mac.DE110.Inp!$C79:$L79,"")=10,"",IF(Mac.DE110.Inp!$D79="","NULL",Mac.DE110.Inp!$D79))</f>
        <v>255</v>
      </c>
      <c r="H79" s="6">
        <f>IF(COUNTIF(Mac.DE110.Inp!$C79:$L79,"")=10,"",IF(Mac.DE110.Inp!$E79="","NULL",Mac.DE110.Inp!$E79))</f>
        <v>72</v>
      </c>
      <c r="I79" s="6">
        <f>IF(COUNTIF(Mac.DE110.Inp!$C79:$L79,"")=10,"",IF(Mac.DE110.Inp!$F79="","NULL",Mac.DE110.Inp!$F79))</f>
        <v>69</v>
      </c>
      <c r="J79" s="6" t="str">
        <f>IF(COUNTIF(Mac.DE110.Inp!$C79:$L79,"")=10,"",IF(Mac.DE110.Inp!$G79="","NULL",""""&amp;Mac.DE110.Inp!$G79&amp;""""))</f>
        <v>"2"</v>
      </c>
      <c r="K79" s="6" t="str">
        <f>IF(COUNTIF(Mac.DE110.Inp!$C79:$L79,"")=10,"",IF(Mac.DE110.Inp!$H79="","NULL",""""&amp;Mac.DE110.Inp!$H79&amp;""""))</f>
        <v>"Runter"</v>
      </c>
      <c r="L79" s="6" t="str">
        <f>IF(COUNTIF(Mac.DE110.Inp!$C79:$L79,"")=10,"",IF(Mac.DE110.Inp!$I79="","NULL",""""&amp;Mac.DE110.Inp!$I79&amp;""""))</f>
        <v>NULL</v>
      </c>
      <c r="M79" s="6" t="str">
        <f>IF(COUNTIF(Mac.DE110.Inp!$C79:$L79,"")=10,"",IF(Mac.DE110.Inp!$J79="","NULL",""""&amp;Mac.DE110.Inp!$J79&amp;""""))</f>
        <v>NULL</v>
      </c>
      <c r="N79" s="6">
        <f>IF(COUNTIF(Mac.DE110.Inp!$C79:$L79,"")=10,"",IF(Mac.DE110.Inp!$K79="","NULL",Mac.DE110.Inp!$K79))</f>
        <v>0</v>
      </c>
      <c r="O79" s="6">
        <f>IF(COUNTIF(Mac.DE110.Inp!$C79:$L79,"")=10,"",IF(Mac.DE110.Inp!$L79="","NULL",Mac.DE110.Inp!$L79))</f>
        <v>1</v>
      </c>
      <c r="P79" s="7" t="str">
        <f>IF(COUNTIF(Mac.DE110.Inp!$C79:$L79,"")=10,"","("&amp;aconcat($C79:$O79,",")&amp;"),")</f>
        <v>(NULL,NULL,78,1388,255,72,69,"2","Runter",NULL,NULL,0,1),</v>
      </c>
    </row>
    <row r="80" spans="1:16" x14ac:dyDescent="0.3">
      <c r="A80" s="1" t="s">
        <v>121</v>
      </c>
      <c r="B80" s="1">
        <f t="shared" si="1"/>
        <v>79</v>
      </c>
      <c r="C80" s="6" t="str">
        <f>IF(COUNTIF(Mac.DE110.Inp!$C80:$L80,"")=10,"","NULL")</f>
        <v>NULL</v>
      </c>
      <c r="D80" s="6" t="str">
        <f>IF(COUNTIF(Mac.DE110.Inp!$C80:$L80,"")=10,"","NULL")</f>
        <v>NULL</v>
      </c>
      <c r="E80" s="6">
        <f>IF(COUNTIF(Mac.DE110.Inp!$C80:$L80,"")=10,"",$B80)</f>
        <v>79</v>
      </c>
      <c r="F80" s="6">
        <f>IF(COUNTIF(Mac.DE110.Inp!$C80:$L80,"")=10,"",IF(Mac.DE110.Inp!$C80="","NULL",Mac.DE110.Inp!$C80))</f>
        <v>1316</v>
      </c>
      <c r="G80" s="6">
        <f>IF(COUNTIF(Mac.DE110.Inp!$C80:$L80,"")=10,"",IF(Mac.DE110.Inp!$D80="","NULL",Mac.DE110.Inp!$D80))</f>
        <v>324</v>
      </c>
      <c r="H80" s="6">
        <f>IF(COUNTIF(Mac.DE110.Inp!$C80:$L80,"")=10,"",IF(Mac.DE110.Inp!$E80="","NULL",Mac.DE110.Inp!$E80))</f>
        <v>144</v>
      </c>
      <c r="I80" s="6">
        <f>IF(COUNTIF(Mac.DE110.Inp!$C80:$L80,"")=10,"",IF(Mac.DE110.Inp!$F80="","NULL",Mac.DE110.Inp!$F80))</f>
        <v>84</v>
      </c>
      <c r="J80" s="6" t="str">
        <f>IF(COUNTIF(Mac.DE110.Inp!$C80:$L80,"")=10,"",IF(Mac.DE110.Inp!$G80="","NULL",""""&amp;Mac.DE110.Inp!$G80&amp;""""))</f>
        <v>"0"</v>
      </c>
      <c r="K80" s="6" t="str">
        <f>IF(COUNTIF(Mac.DE110.Inp!$C80:$L80,"")=10,"",IF(Mac.DE110.Inp!$H80="","NULL",""""&amp;Mac.DE110.Inp!$H80&amp;""""))</f>
        <v>"Einfg"</v>
      </c>
      <c r="L80" s="6" t="str">
        <f>IF(COUNTIF(Mac.DE110.Inp!$C80:$L80,"")=10,"",IF(Mac.DE110.Inp!$I80="","NULL",""""&amp;Mac.DE110.Inp!$I80&amp;""""))</f>
        <v>NULL</v>
      </c>
      <c r="M80" s="6" t="str">
        <f>IF(COUNTIF(Mac.DE110.Inp!$C80:$L80,"")=10,"",IF(Mac.DE110.Inp!$J80="","NULL",""""&amp;Mac.DE110.Inp!$J80&amp;""""))</f>
        <v>NULL</v>
      </c>
      <c r="N80" s="6">
        <f>IF(COUNTIF(Mac.DE110.Inp!$C80:$L80,"")=10,"",IF(Mac.DE110.Inp!$K80="","NULL",Mac.DE110.Inp!$K80))</f>
        <v>0</v>
      </c>
      <c r="O80" s="6">
        <f>IF(COUNTIF(Mac.DE110.Inp!$C80:$L80,"")=10,"",IF(Mac.DE110.Inp!$L80="","NULL",Mac.DE110.Inp!$L80))</f>
        <v>1</v>
      </c>
      <c r="P80" s="7" t="str">
        <f>IF(COUNTIF(Mac.DE110.Inp!$C80:$L80,"")=10,"","("&amp;aconcat($C80:$O80,",")&amp;"),")</f>
        <v>(NULL,NULL,79,1316,324,144,84,"0","Einfg",NULL,NULL,0,1),</v>
      </c>
    </row>
    <row r="81" spans="1:16" x14ac:dyDescent="0.3">
      <c r="A81" s="1" t="s">
        <v>133</v>
      </c>
      <c r="B81" s="1">
        <f t="shared" si="1"/>
        <v>80</v>
      </c>
      <c r="C81" s="6" t="str">
        <f>IF(COUNTIF(Mac.DE110.Inp!$C81:$L81,"")=10,"","NULL")</f>
        <v>NULL</v>
      </c>
      <c r="D81" s="6" t="str">
        <f>IF(COUNTIF(Mac.DE110.Inp!$C81:$L81,"")=10,"","NULL")</f>
        <v>NULL</v>
      </c>
      <c r="E81" s="6">
        <f>IF(COUNTIF(Mac.DE110.Inp!$C81:$L81,"")=10,"",$B81)</f>
        <v>80</v>
      </c>
      <c r="F81" s="6">
        <f>IF(COUNTIF(Mac.DE110.Inp!$C81:$L81,"")=10,"",IF(Mac.DE110.Inp!$C81="","NULL",Mac.DE110.Inp!$C81))</f>
        <v>1532</v>
      </c>
      <c r="G81" s="6">
        <f>IF(COUNTIF(Mac.DE110.Inp!$C81:$L81,"")=10,"",IF(Mac.DE110.Inp!$D81="","NULL",Mac.DE110.Inp!$D81))</f>
        <v>48</v>
      </c>
      <c r="H81" s="6">
        <f>IF(COUNTIF(Mac.DE110.Inp!$C81:$L81,"")=10,"",IF(Mac.DE110.Inp!$E81="","NULL",Mac.DE110.Inp!$E81))</f>
        <v>72</v>
      </c>
      <c r="I81" s="6">
        <f>IF(COUNTIF(Mac.DE110.Inp!$C81:$L81,"")=10,"",IF(Mac.DE110.Inp!$F81="","NULL",Mac.DE110.Inp!$F81))</f>
        <v>69</v>
      </c>
      <c r="J81" s="6" t="str">
        <f>IF(COUNTIF(Mac.DE110.Inp!$C81:$L81,"")=10,"",IF(Mac.DE110.Inp!$G81="","NULL",""""&amp;Mac.DE110.Inp!$G81&amp;""""))</f>
        <v>NULL</v>
      </c>
      <c r="K81" s="6" t="str">
        <f>IF(COUNTIF(Mac.DE110.Inp!$C81:$L81,"")=10,"",IF(Mac.DE110.Inp!$H81="","NULL",""""&amp;Mac.DE110.Inp!$H81&amp;""""))</f>
        <v>"×"</v>
      </c>
      <c r="L81" s="6" t="str">
        <f>IF(COUNTIF(Mac.DE110.Inp!$C81:$L81,"")=10,"",IF(Mac.DE110.Inp!$I81="","NULL",""""&amp;Mac.DE110.Inp!$I81&amp;""""))</f>
        <v>NULL</v>
      </c>
      <c r="M81" s="6" t="str">
        <f>IF(COUNTIF(Mac.DE110.Inp!$C81:$L81,"")=10,"",IF(Mac.DE110.Inp!$J81="","NULL",""""&amp;Mac.DE110.Inp!$J81&amp;""""))</f>
        <v>NULL</v>
      </c>
      <c r="N81" s="6">
        <f>IF(COUNTIF(Mac.DE110.Inp!$C81:$L81,"")=10,"",IF(Mac.DE110.Inp!$K81="","NULL",Mac.DE110.Inp!$K81))</f>
        <v>0</v>
      </c>
      <c r="O81" s="6">
        <f>IF(COUNTIF(Mac.DE110.Inp!$C81:$L81,"")=10,"",IF(Mac.DE110.Inp!$L81="","NULL",Mac.DE110.Inp!$L81))</f>
        <v>1</v>
      </c>
      <c r="P81" s="7" t="str">
        <f>IF(COUNTIF(Mac.DE110.Inp!$C81:$L81,"")=10,"","("&amp;aconcat($C81:$O81,",")&amp;"),")</f>
        <v>(NULL,NULL,80,1532,48,72,69,NULL,"×",NULL,NULL,0,1),</v>
      </c>
    </row>
    <row r="82" spans="1:16" x14ac:dyDescent="0.3">
      <c r="A82" s="1" t="s">
        <v>128</v>
      </c>
      <c r="B82" s="1">
        <f t="shared" si="1"/>
        <v>81</v>
      </c>
      <c r="C82" s="6" t="str">
        <f>IF(COUNTIF(Mac.DE110.Inp!$C82:$L82,"")=10,"","NULL")</f>
        <v>NULL</v>
      </c>
      <c r="D82" s="6" t="str">
        <f>IF(COUNTIF(Mac.DE110.Inp!$C82:$L82,"")=10,"","NULL")</f>
        <v>NULL</v>
      </c>
      <c r="E82" s="6">
        <f>IF(COUNTIF(Mac.DE110.Inp!$C82:$L82,"")=10,"",$B82)</f>
        <v>81</v>
      </c>
      <c r="F82" s="6">
        <f>IF(COUNTIF(Mac.DE110.Inp!$C82:$L82,"")=10,"",IF(Mac.DE110.Inp!$C82="","NULL",Mac.DE110.Inp!$C82))</f>
        <v>1460</v>
      </c>
      <c r="G82" s="6">
        <f>IF(COUNTIF(Mac.DE110.Inp!$C82:$L82,"")=10,"",IF(Mac.DE110.Inp!$D82="","NULL",Mac.DE110.Inp!$D82))</f>
        <v>117</v>
      </c>
      <c r="H82" s="6">
        <f>IF(COUNTIF(Mac.DE110.Inp!$C82:$L82,"")=10,"",IF(Mac.DE110.Inp!$E82="","NULL",Mac.DE110.Inp!$E82))</f>
        <v>72</v>
      </c>
      <c r="I82" s="6">
        <f>IF(COUNTIF(Mac.DE110.Inp!$C82:$L82,"")=10,"",IF(Mac.DE110.Inp!$F82="","NULL",Mac.DE110.Inp!$F82))</f>
        <v>69</v>
      </c>
      <c r="J82" s="6" t="str">
        <f>IF(COUNTIF(Mac.DE110.Inp!$C82:$L82,"")=10,"",IF(Mac.DE110.Inp!$G82="","NULL",""""&amp;Mac.DE110.Inp!$G82&amp;""""))</f>
        <v>"9"</v>
      </c>
      <c r="K82" s="6" t="str">
        <f>IF(COUNTIF(Mac.DE110.Inp!$C82:$L82,"")=10,"",IF(Mac.DE110.Inp!$H82="","NULL",""""&amp;Mac.DE110.Inp!$H82&amp;""""))</f>
        <v>"Bild↑"</v>
      </c>
      <c r="L82" s="6" t="str">
        <f>IF(COUNTIF(Mac.DE110.Inp!$C82:$L82,"")=10,"",IF(Mac.DE110.Inp!$I82="","NULL",""""&amp;Mac.DE110.Inp!$I82&amp;""""))</f>
        <v>NULL</v>
      </c>
      <c r="M82" s="6" t="str">
        <f>IF(COUNTIF(Mac.DE110.Inp!$C82:$L82,"")=10,"",IF(Mac.DE110.Inp!$J82="","NULL",""""&amp;Mac.DE110.Inp!$J82&amp;""""))</f>
        <v>NULL</v>
      </c>
      <c r="N82" s="6">
        <f>IF(COUNTIF(Mac.DE110.Inp!$C82:$L82,"")=10,"",IF(Mac.DE110.Inp!$K82="","NULL",Mac.DE110.Inp!$K82))</f>
        <v>0</v>
      </c>
      <c r="O82" s="6">
        <f>IF(COUNTIF(Mac.DE110.Inp!$C82:$L82,"")=10,"",IF(Mac.DE110.Inp!$L82="","NULL",Mac.DE110.Inp!$L82))</f>
        <v>1</v>
      </c>
      <c r="P82" s="7" t="str">
        <f>IF(COUNTIF(Mac.DE110.Inp!$C82:$L82,"")=10,"","("&amp;aconcat($C82:$O82,",")&amp;"),")</f>
        <v>(NULL,NULL,81,1460,117,72,69,"9","Bild↑",NULL,NULL,0,1),</v>
      </c>
    </row>
    <row r="83" spans="1:16" x14ac:dyDescent="0.3">
      <c r="A83" s="1" t="s">
        <v>130</v>
      </c>
      <c r="B83" s="1">
        <f t="shared" si="1"/>
        <v>82</v>
      </c>
      <c r="C83" s="6" t="str">
        <f>IF(COUNTIF(Mac.DE110.Inp!$C83:$L83,"")=10,"","NULL")</f>
        <v>NULL</v>
      </c>
      <c r="D83" s="6" t="str">
        <f>IF(COUNTIF(Mac.DE110.Inp!$C83:$L83,"")=10,"","NULL")</f>
        <v>NULL</v>
      </c>
      <c r="E83" s="6">
        <f>IF(COUNTIF(Mac.DE110.Inp!$C83:$L83,"")=10,"",$B83)</f>
        <v>82</v>
      </c>
      <c r="F83" s="6">
        <f>IF(COUNTIF(Mac.DE110.Inp!$C83:$L83,"")=10,"",IF(Mac.DE110.Inp!$C83="","NULL",Mac.DE110.Inp!$C83))</f>
        <v>1460</v>
      </c>
      <c r="G83" s="6">
        <f>IF(COUNTIF(Mac.DE110.Inp!$C83:$L83,"")=10,"",IF(Mac.DE110.Inp!$D83="","NULL",Mac.DE110.Inp!$D83))</f>
        <v>186</v>
      </c>
      <c r="H83" s="6">
        <f>IF(COUNTIF(Mac.DE110.Inp!$C83:$L83,"")=10,"",IF(Mac.DE110.Inp!$E83="","NULL",Mac.DE110.Inp!$E83))</f>
        <v>72</v>
      </c>
      <c r="I83" s="6">
        <f>IF(COUNTIF(Mac.DE110.Inp!$C83:$L83,"")=10,"",IF(Mac.DE110.Inp!$F83="","NULL",Mac.DE110.Inp!$F83))</f>
        <v>69</v>
      </c>
      <c r="J83" s="6" t="str">
        <f>IF(COUNTIF(Mac.DE110.Inp!$C83:$L83,"")=10,"",IF(Mac.DE110.Inp!$G83="","NULL",""""&amp;Mac.DE110.Inp!$G83&amp;""""))</f>
        <v>"6"</v>
      </c>
      <c r="K83" s="6" t="str">
        <f>IF(COUNTIF(Mac.DE110.Inp!$C83:$L83,"")=10,"",IF(Mac.DE110.Inp!$H83="","NULL",""""&amp;Mac.DE110.Inp!$H83&amp;""""))</f>
        <v>"Rechts"</v>
      </c>
      <c r="L83" s="6" t="str">
        <f>IF(COUNTIF(Mac.DE110.Inp!$C83:$L83,"")=10,"",IF(Mac.DE110.Inp!$I83="","NULL",""""&amp;Mac.DE110.Inp!$I83&amp;""""))</f>
        <v>NULL</v>
      </c>
      <c r="M83" s="6" t="str">
        <f>IF(COUNTIF(Mac.DE110.Inp!$C83:$L83,"")=10,"",IF(Mac.DE110.Inp!$J83="","NULL",""""&amp;Mac.DE110.Inp!$J83&amp;""""))</f>
        <v>NULL</v>
      </c>
      <c r="N83" s="6">
        <f>IF(COUNTIF(Mac.DE110.Inp!$C83:$L83,"")=10,"",IF(Mac.DE110.Inp!$K83="","NULL",Mac.DE110.Inp!$K83))</f>
        <v>0</v>
      </c>
      <c r="O83" s="6">
        <f>IF(COUNTIF(Mac.DE110.Inp!$C83:$L83,"")=10,"",IF(Mac.DE110.Inp!$L83="","NULL",Mac.DE110.Inp!$L83))</f>
        <v>1</v>
      </c>
      <c r="P83" s="7" t="str">
        <f>IF(COUNTIF(Mac.DE110.Inp!$C83:$L83,"")=10,"","("&amp;aconcat($C83:$O83,",")&amp;"),")</f>
        <v>(NULL,NULL,82,1460,186,72,69,"6","Rechts",NULL,NULL,0,1),</v>
      </c>
    </row>
    <row r="84" spans="1:16" x14ac:dyDescent="0.3">
      <c r="A84" s="1" t="s">
        <v>129</v>
      </c>
      <c r="B84" s="1">
        <f t="shared" si="1"/>
        <v>83</v>
      </c>
      <c r="C84" s="6" t="str">
        <f>IF(COUNTIF(Mac.DE110.Inp!$C84:$L84,"")=10,"","NULL")</f>
        <v>NULL</v>
      </c>
      <c r="D84" s="6" t="str">
        <f>IF(COUNTIF(Mac.DE110.Inp!$C84:$L84,"")=10,"","NULL")</f>
        <v>NULL</v>
      </c>
      <c r="E84" s="6">
        <f>IF(COUNTIF(Mac.DE110.Inp!$C84:$L84,"")=10,"",$B84)</f>
        <v>83</v>
      </c>
      <c r="F84" s="6">
        <f>IF(COUNTIF(Mac.DE110.Inp!$C84:$L84,"")=10,"",IF(Mac.DE110.Inp!$C84="","NULL",Mac.DE110.Inp!$C84))</f>
        <v>1460</v>
      </c>
      <c r="G84" s="6">
        <f>IF(COUNTIF(Mac.DE110.Inp!$C84:$L84,"")=10,"",IF(Mac.DE110.Inp!$D84="","NULL",Mac.DE110.Inp!$D84))</f>
        <v>255</v>
      </c>
      <c r="H84" s="6">
        <f>IF(COUNTIF(Mac.DE110.Inp!$C84:$L84,"")=10,"",IF(Mac.DE110.Inp!$E84="","NULL",Mac.DE110.Inp!$E84))</f>
        <v>72</v>
      </c>
      <c r="I84" s="6">
        <f>IF(COUNTIF(Mac.DE110.Inp!$C84:$L84,"")=10,"",IF(Mac.DE110.Inp!$F84="","NULL",Mac.DE110.Inp!$F84))</f>
        <v>69</v>
      </c>
      <c r="J84" s="6" t="str">
        <f>IF(COUNTIF(Mac.DE110.Inp!$C84:$L84,"")=10,"",IF(Mac.DE110.Inp!$G84="","NULL",""""&amp;Mac.DE110.Inp!$G84&amp;""""))</f>
        <v>"3"</v>
      </c>
      <c r="K84" s="6" t="str">
        <f>IF(COUNTIF(Mac.DE110.Inp!$C84:$L84,"")=10,"",IF(Mac.DE110.Inp!$H84="","NULL",""""&amp;Mac.DE110.Inp!$H84&amp;""""))</f>
        <v>"Bild↓"</v>
      </c>
      <c r="L84" s="6" t="str">
        <f>IF(COUNTIF(Mac.DE110.Inp!$C84:$L84,"")=10,"",IF(Mac.DE110.Inp!$I84="","NULL",""""&amp;Mac.DE110.Inp!$I84&amp;""""))</f>
        <v>NULL</v>
      </c>
      <c r="M84" s="6" t="str">
        <f>IF(COUNTIF(Mac.DE110.Inp!$C84:$L84,"")=10,"",IF(Mac.DE110.Inp!$J84="","NULL",""""&amp;Mac.DE110.Inp!$J84&amp;""""))</f>
        <v>NULL</v>
      </c>
      <c r="N84" s="6">
        <f>IF(COUNTIF(Mac.DE110.Inp!$C84:$L84,"")=10,"",IF(Mac.DE110.Inp!$K84="","NULL",Mac.DE110.Inp!$K84))</f>
        <v>0</v>
      </c>
      <c r="O84" s="6">
        <f>IF(COUNTIF(Mac.DE110.Inp!$C84:$L84,"")=10,"",IF(Mac.DE110.Inp!$L84="","NULL",Mac.DE110.Inp!$L84))</f>
        <v>1</v>
      </c>
      <c r="P84" s="7" t="str">
        <f>IF(COUNTIF(Mac.DE110.Inp!$C84:$L84,"")=10,"","("&amp;aconcat($C84:$O84,",")&amp;"),")</f>
        <v>(NULL,NULL,83,1460,255,72,69,"3","Bild↓",NULL,NULL,0,1),</v>
      </c>
    </row>
    <row r="85" spans="1:16" x14ac:dyDescent="0.3">
      <c r="A85" s="1" t="s">
        <v>122</v>
      </c>
      <c r="B85" s="1">
        <f t="shared" si="1"/>
        <v>84</v>
      </c>
      <c r="C85" s="6" t="str">
        <f>IF(COUNTIF(Mac.DE110.Inp!$C85:$L85,"")=10,"","NULL")</f>
        <v>NULL</v>
      </c>
      <c r="D85" s="6" t="str">
        <f>IF(COUNTIF(Mac.DE110.Inp!$C85:$L85,"")=10,"","NULL")</f>
        <v>NULL</v>
      </c>
      <c r="E85" s="6">
        <f>IF(COUNTIF(Mac.DE110.Inp!$C85:$L85,"")=10,"",$B85)</f>
        <v>84</v>
      </c>
      <c r="F85" s="6">
        <f>IF(COUNTIF(Mac.DE110.Inp!$C85:$L85,"")=10,"",IF(Mac.DE110.Inp!$C85="","NULL",Mac.DE110.Inp!$C85))</f>
        <v>1460</v>
      </c>
      <c r="G85" s="6">
        <f>IF(COUNTIF(Mac.DE110.Inp!$C85:$L85,"")=10,"",IF(Mac.DE110.Inp!$D85="","NULL",Mac.DE110.Inp!$D85))</f>
        <v>324</v>
      </c>
      <c r="H85" s="6">
        <f>IF(COUNTIF(Mac.DE110.Inp!$C85:$L85,"")=10,"",IF(Mac.DE110.Inp!$E85="","NULL",Mac.DE110.Inp!$E85))</f>
        <v>72</v>
      </c>
      <c r="I85" s="6">
        <f>IF(COUNTIF(Mac.DE110.Inp!$C85:$L85,"")=10,"",IF(Mac.DE110.Inp!$F85="","NULL",Mac.DE110.Inp!$F85))</f>
        <v>84</v>
      </c>
      <c r="J85" s="6" t="str">
        <f>IF(COUNTIF(Mac.DE110.Inp!$C85:$L85,"")=10,"",IF(Mac.DE110.Inp!$G85="","NULL",""""&amp;Mac.DE110.Inp!$G85&amp;""""))</f>
        <v>","</v>
      </c>
      <c r="K85" s="6" t="str">
        <f>IF(COUNTIF(Mac.DE110.Inp!$C85:$L85,"")=10,"",IF(Mac.DE110.Inp!$H85="","NULL",""""&amp;Mac.DE110.Inp!$H85&amp;""""))</f>
        <v>"Entf"</v>
      </c>
      <c r="L85" s="6" t="str">
        <f>IF(COUNTIF(Mac.DE110.Inp!$C85:$L85,"")=10,"",IF(Mac.DE110.Inp!$I85="","NULL",""""&amp;Mac.DE110.Inp!$I85&amp;""""))</f>
        <v>NULL</v>
      </c>
      <c r="M85" s="6" t="str">
        <f>IF(COUNTIF(Mac.DE110.Inp!$C85:$L85,"")=10,"",IF(Mac.DE110.Inp!$J85="","NULL",""""&amp;Mac.DE110.Inp!$J85&amp;""""))</f>
        <v>NULL</v>
      </c>
      <c r="N85" s="6">
        <f>IF(COUNTIF(Mac.DE110.Inp!$C85:$L85,"")=10,"",IF(Mac.DE110.Inp!$K85="","NULL",Mac.DE110.Inp!$K85))</f>
        <v>0</v>
      </c>
      <c r="O85" s="6">
        <f>IF(COUNTIF(Mac.DE110.Inp!$C85:$L85,"")=10,"",IF(Mac.DE110.Inp!$L85="","NULL",Mac.DE110.Inp!$L85))</f>
        <v>1</v>
      </c>
      <c r="P85" s="7" t="str">
        <f>IF(COUNTIF(Mac.DE110.Inp!$C85:$L85,"")=10,"","("&amp;aconcat($C85:$O85,",")&amp;"),")</f>
        <v>(NULL,NULL,84,1460,324,72,84,",","Entf",NULL,NULL,0,1),</v>
      </c>
    </row>
    <row r="86" spans="1:16" x14ac:dyDescent="0.3">
      <c r="A86" s="1" t="s">
        <v>114</v>
      </c>
      <c r="B86" s="1">
        <f t="shared" si="1"/>
        <v>85</v>
      </c>
      <c r="C86" s="6" t="str">
        <f>IF(COUNTIF(Mac.DE110.Inp!$C86:$L86,"")=10,"","NULL")</f>
        <v>NULL</v>
      </c>
      <c r="D86" s="6" t="str">
        <f>IF(COUNTIF(Mac.DE110.Inp!$C86:$L86,"")=10,"","NULL")</f>
        <v>NULL</v>
      </c>
      <c r="E86" s="6">
        <f>IF(COUNTIF(Mac.DE110.Inp!$C86:$L86,"")=10,"",$B86)</f>
        <v>85</v>
      </c>
      <c r="F86" s="6">
        <f>IF(COUNTIF(Mac.DE110.Inp!$C86:$L86,"")=10,"",IF(Mac.DE110.Inp!$C86="","NULL",Mac.DE110.Inp!$C86))</f>
        <v>1532</v>
      </c>
      <c r="G86" s="6">
        <f>IF(COUNTIF(Mac.DE110.Inp!$C86:$L86,"")=10,"",IF(Mac.DE110.Inp!$D86="","NULL",Mac.DE110.Inp!$D86))</f>
        <v>117</v>
      </c>
      <c r="H86" s="6">
        <f>IF(COUNTIF(Mac.DE110.Inp!$C86:$L86,"")=10,"",IF(Mac.DE110.Inp!$E86="","NULL",Mac.DE110.Inp!$E86))</f>
        <v>72</v>
      </c>
      <c r="I86" s="6">
        <f>IF(COUNTIF(Mac.DE110.Inp!$C86:$L86,"")=10,"",IF(Mac.DE110.Inp!$F86="","NULL",Mac.DE110.Inp!$F86))</f>
        <v>69</v>
      </c>
      <c r="J86" s="6" t="str">
        <f>IF(COUNTIF(Mac.DE110.Inp!$C86:$L86,"")=10,"",IF(Mac.DE110.Inp!$G86="","NULL",""""&amp;Mac.DE110.Inp!$G86&amp;""""))</f>
        <v>NULL</v>
      </c>
      <c r="K86" s="6" t="str">
        <f>IF(COUNTIF(Mac.DE110.Inp!$C86:$L86,"")=10,"",IF(Mac.DE110.Inp!$H86="","NULL",""""&amp;Mac.DE110.Inp!$H86&amp;""""))</f>
        <v>"-"</v>
      </c>
      <c r="L86" s="6" t="str">
        <f>IF(COUNTIF(Mac.DE110.Inp!$C86:$L86,"")=10,"",IF(Mac.DE110.Inp!$I86="","NULL",""""&amp;Mac.DE110.Inp!$I86&amp;""""))</f>
        <v>NULL</v>
      </c>
      <c r="M86" s="6" t="str">
        <f>IF(COUNTIF(Mac.DE110.Inp!$C86:$L86,"")=10,"",IF(Mac.DE110.Inp!$J86="","NULL",""""&amp;Mac.DE110.Inp!$J86&amp;""""))</f>
        <v>NULL</v>
      </c>
      <c r="N86" s="6">
        <f>IF(COUNTIF(Mac.DE110.Inp!$C86:$L86,"")=10,"",IF(Mac.DE110.Inp!$K86="","NULL",Mac.DE110.Inp!$K86))</f>
        <v>0</v>
      </c>
      <c r="O86" s="6">
        <f>IF(COUNTIF(Mac.DE110.Inp!$C86:$L86,"")=10,"",IF(Mac.DE110.Inp!$L86="","NULL",Mac.DE110.Inp!$L86))</f>
        <v>1</v>
      </c>
      <c r="P86" s="7" t="str">
        <f>IF(COUNTIF(Mac.DE110.Inp!$C86:$L86,"")=10,"","("&amp;aconcat($C86:$O86,",")&amp;"),")</f>
        <v>(NULL,NULL,85,1532,117,72,69,NULL,"-",NULL,NULL,0,1),</v>
      </c>
    </row>
    <row r="87" spans="1:16" x14ac:dyDescent="0.3">
      <c r="A87" s="1" t="s">
        <v>63</v>
      </c>
      <c r="B87" s="1">
        <f t="shared" si="1"/>
        <v>86</v>
      </c>
      <c r="C87" s="6" t="str">
        <f>IF(COUNTIF(Mac.DE110.Inp!$C87:$L87,"")=10,"","NULL")</f>
        <v>NULL</v>
      </c>
      <c r="D87" s="6" t="str">
        <f>IF(COUNTIF(Mac.DE110.Inp!$C87:$L87,"")=10,"","NULL")</f>
        <v>NULL</v>
      </c>
      <c r="E87" s="6">
        <f>IF(COUNTIF(Mac.DE110.Inp!$C87:$L87,"")=10,"",$B87)</f>
        <v>86</v>
      </c>
      <c r="F87" s="6">
        <f>IF(COUNTIF(Mac.DE110.Inp!$C87:$L87,"")=10,"",IF(Mac.DE110.Inp!$C87="","NULL",Mac.DE110.Inp!$C87))</f>
        <v>1532</v>
      </c>
      <c r="G87" s="6">
        <f>IF(COUNTIF(Mac.DE110.Inp!$C87:$L87,"")=10,"",IF(Mac.DE110.Inp!$D87="","NULL",Mac.DE110.Inp!$D87))</f>
        <v>186</v>
      </c>
      <c r="H87" s="6">
        <f>IF(COUNTIF(Mac.DE110.Inp!$C87:$L87,"")=10,"",IF(Mac.DE110.Inp!$E87="","NULL",Mac.DE110.Inp!$E87))</f>
        <v>72</v>
      </c>
      <c r="I87" s="6">
        <f>IF(COUNTIF(Mac.DE110.Inp!$C87:$L87,"")=10,"",IF(Mac.DE110.Inp!$F87="","NULL",Mac.DE110.Inp!$F87))</f>
        <v>69</v>
      </c>
      <c r="J87" s="6" t="str">
        <f>IF(COUNTIF(Mac.DE110.Inp!$C87:$L87,"")=10,"",IF(Mac.DE110.Inp!$G87="","NULL",""""&amp;Mac.DE110.Inp!$G87&amp;""""))</f>
        <v>NULL</v>
      </c>
      <c r="K87" s="6" t="str">
        <f>IF(COUNTIF(Mac.DE110.Inp!$C87:$L87,"")=10,"",IF(Mac.DE110.Inp!$H87="","NULL",""""&amp;Mac.DE110.Inp!$H87&amp;""""))</f>
        <v>"+"</v>
      </c>
      <c r="L87" s="6" t="str">
        <f>IF(COUNTIF(Mac.DE110.Inp!$C87:$L87,"")=10,"",IF(Mac.DE110.Inp!$I87="","NULL",""""&amp;Mac.DE110.Inp!$I87&amp;""""))</f>
        <v>NULL</v>
      </c>
      <c r="M87" s="6" t="str">
        <f>IF(COUNTIF(Mac.DE110.Inp!$C87:$L87,"")=10,"",IF(Mac.DE110.Inp!$J87="","NULL",""""&amp;Mac.DE110.Inp!$J87&amp;""""))</f>
        <v>NULL</v>
      </c>
      <c r="N87" s="6">
        <f>IF(COUNTIF(Mac.DE110.Inp!$C87:$L87,"")=10,"",IF(Mac.DE110.Inp!$K87="","NULL",Mac.DE110.Inp!$K87))</f>
        <v>0</v>
      </c>
      <c r="O87" s="6">
        <f>IF(COUNTIF(Mac.DE110.Inp!$C87:$L87,"")=10,"",IF(Mac.DE110.Inp!$L87="","NULL",Mac.DE110.Inp!$L87))</f>
        <v>1</v>
      </c>
      <c r="P87" s="7" t="str">
        <f>IF(COUNTIF(Mac.DE110.Inp!$C87:$L87,"")=10,"","("&amp;aconcat($C87:$O87,",")&amp;"),")</f>
        <v>(NULL,NULL,86,1532,186,72,69,NULL,"+",NULL,NULL,0,1),</v>
      </c>
    </row>
    <row r="88" spans="1:16" x14ac:dyDescent="0.3">
      <c r="A88" s="1" t="s">
        <v>192</v>
      </c>
      <c r="B88" s="1">
        <f t="shared" si="1"/>
        <v>87</v>
      </c>
      <c r="C88" s="6" t="str">
        <f>IF(COUNTIF(Mac.DE110.Inp!$C88:$L88,"")=10,"","NULL")</f>
        <v>NULL</v>
      </c>
      <c r="D88" s="6" t="str">
        <f>IF(COUNTIF(Mac.DE110.Inp!$C88:$L88,"")=10,"","NULL")</f>
        <v>NULL</v>
      </c>
      <c r="E88" s="6">
        <f>IF(COUNTIF(Mac.DE110.Inp!$C88:$L88,"")=10,"",$B88)</f>
        <v>87</v>
      </c>
      <c r="F88" s="6">
        <f>IF(COUNTIF(Mac.DE110.Inp!$C88:$L88,"")=10,"",IF(Mac.DE110.Inp!$C88="","NULL",Mac.DE110.Inp!$C88))</f>
        <v>1532</v>
      </c>
      <c r="G88" s="6">
        <f>IF(COUNTIF(Mac.DE110.Inp!$C88:$L88,"")=10,"",IF(Mac.DE110.Inp!$D88="","NULL",Mac.DE110.Inp!$D88))</f>
        <v>255</v>
      </c>
      <c r="H88" s="6">
        <f>IF(COUNTIF(Mac.DE110.Inp!$C88:$L88,"")=10,"",IF(Mac.DE110.Inp!$E88="","NULL",Mac.DE110.Inp!$E88))</f>
        <v>72</v>
      </c>
      <c r="I88" s="6">
        <f>IF(COUNTIF(Mac.DE110.Inp!$C88:$L88,"")=10,"",IF(Mac.DE110.Inp!$F88="","NULL",Mac.DE110.Inp!$F88))</f>
        <v>153</v>
      </c>
      <c r="J88" s="6" t="str">
        <f>IF(COUNTIF(Mac.DE110.Inp!$C88:$L88,"")=10,"",IF(Mac.DE110.Inp!$G88="","NULL",""""&amp;Mac.DE110.Inp!$G88&amp;""""))</f>
        <v>NULL</v>
      </c>
      <c r="K88" s="6" t="str">
        <f>IF(COUNTIF(Mac.DE110.Inp!$C88:$L88,"")=10,"",IF(Mac.DE110.Inp!$H88="","NULL",""""&amp;Mac.DE110.Inp!$H88&amp;""""))</f>
        <v>"Ein-geben"</v>
      </c>
      <c r="L88" s="6" t="str">
        <f>IF(COUNTIF(Mac.DE110.Inp!$C88:$L88,"")=10,"",IF(Mac.DE110.Inp!$I88="","NULL",""""&amp;Mac.DE110.Inp!$I88&amp;""""))</f>
        <v>NULL</v>
      </c>
      <c r="M88" s="6" t="str">
        <f>IF(COUNTIF(Mac.DE110.Inp!$C88:$L88,"")=10,"",IF(Mac.DE110.Inp!$J88="","NULL",""""&amp;Mac.DE110.Inp!$J88&amp;""""))</f>
        <v>NULL</v>
      </c>
      <c r="N88" s="6">
        <f>IF(COUNTIF(Mac.DE110.Inp!$C88:$L88,"")=10,"",IF(Mac.DE110.Inp!$K88="","NULL",Mac.DE110.Inp!$K88))</f>
        <v>0</v>
      </c>
      <c r="O88" s="6">
        <f>IF(COUNTIF(Mac.DE110.Inp!$C88:$L88,"")=10,"",IF(Mac.DE110.Inp!$L88="","NULL",Mac.DE110.Inp!$L88))</f>
        <v>1</v>
      </c>
      <c r="P88" s="7" t="str">
        <f>IF(COUNTIF(Mac.DE110.Inp!$C88:$L88,"")=10,"","("&amp;aconcat($C88:$O88,",")&amp;"),")</f>
        <v>(NULL,NULL,87,1532,255,72,153,NULL,"Ein-geben",NULL,NULL,0,1),</v>
      </c>
    </row>
    <row r="89" spans="1:16" x14ac:dyDescent="0.3">
      <c r="A89" s="1" t="s">
        <v>134</v>
      </c>
      <c r="B89" s="1">
        <f t="shared" si="1"/>
        <v>88</v>
      </c>
      <c r="C89" s="6" t="str">
        <f>IF(COUNTIF(Mac.DE110.Inp!$C89:$L89,"")=10,"","NULL")</f>
        <v>NULL</v>
      </c>
      <c r="D89" s="6" t="str">
        <f>IF(COUNTIF(Mac.DE110.Inp!$C89:$L89,"")=10,"","NULL")</f>
        <v>NULL</v>
      </c>
      <c r="E89" s="6">
        <f>IF(COUNTIF(Mac.DE110.Inp!$C89:$L89,"")=10,"",$B89)</f>
        <v>88</v>
      </c>
      <c r="F89" s="6">
        <f>IF(COUNTIF(Mac.DE110.Inp!$C89:$L89,"")=10,"",IF(Mac.DE110.Inp!$C89="","NULL",Mac.DE110.Inp!$C89))</f>
        <v>0</v>
      </c>
      <c r="G89" s="6">
        <f>IF(COUNTIF(Mac.DE110.Inp!$C89:$L89,"")=10,"",IF(Mac.DE110.Inp!$D89="","NULL",Mac.DE110.Inp!$D89))</f>
        <v>0</v>
      </c>
      <c r="H89" s="6">
        <f>IF(COUNTIF(Mac.DE110.Inp!$C89:$L89,"")=10,"",IF(Mac.DE110.Inp!$E89="","NULL",Mac.DE110.Inp!$E89))</f>
        <v>75</v>
      </c>
      <c r="I89" s="6">
        <f>IF(COUNTIF(Mac.DE110.Inp!$C89:$L89,"")=10,"",IF(Mac.DE110.Inp!$F89="","NULL",Mac.DE110.Inp!$F89))</f>
        <v>48</v>
      </c>
      <c r="J89" s="6" t="str">
        <f>IF(COUNTIF(Mac.DE110.Inp!$C89:$L89,"")=10,"",IF(Mac.DE110.Inp!$G89="","NULL",""""&amp;Mac.DE110.Inp!$G89&amp;""""))</f>
        <v>NULL</v>
      </c>
      <c r="K89" s="6" t="str">
        <f>IF(COUNTIF(Mac.DE110.Inp!$C89:$L89,"")=10,"",IF(Mac.DE110.Inp!$H89="","NULL",""""&amp;Mac.DE110.Inp!$H89&amp;""""))</f>
        <v>"Esc"</v>
      </c>
      <c r="L89" s="6" t="str">
        <f>IF(COUNTIF(Mac.DE110.Inp!$C89:$L89,"")=10,"",IF(Mac.DE110.Inp!$I89="","NULL",""""&amp;Mac.DE110.Inp!$I89&amp;""""))</f>
        <v>NULL</v>
      </c>
      <c r="M89" s="6" t="str">
        <f>IF(COUNTIF(Mac.DE110.Inp!$C89:$L89,"")=10,"",IF(Mac.DE110.Inp!$J89="","NULL",""""&amp;Mac.DE110.Inp!$J89&amp;""""))</f>
        <v>NULL</v>
      </c>
      <c r="N89" s="6">
        <f>IF(COUNTIF(Mac.DE110.Inp!$C89:$L89,"")=10,"",IF(Mac.DE110.Inp!$K89="","NULL",Mac.DE110.Inp!$K89))</f>
        <v>0</v>
      </c>
      <c r="O89" s="6">
        <f>IF(COUNTIF(Mac.DE110.Inp!$C89:$L89,"")=10,"",IF(Mac.DE110.Inp!$L89="","NULL",Mac.DE110.Inp!$L89))</f>
        <v>0</v>
      </c>
      <c r="P89" s="7" t="str">
        <f>IF(COUNTIF(Mac.DE110.Inp!$C89:$L89,"")=10,"","("&amp;aconcat($C89:$O89,",")&amp;"),")</f>
        <v>(NULL,NULL,88,0,0,75,48,NULL,"Esc",NULL,NULL,0,0),</v>
      </c>
    </row>
    <row r="90" spans="1:16" x14ac:dyDescent="0.3">
      <c r="A90" s="1" t="s">
        <v>135</v>
      </c>
      <c r="B90" s="1">
        <f t="shared" si="1"/>
        <v>89</v>
      </c>
      <c r="C90" s="6" t="str">
        <f>IF(COUNTIF(Mac.DE110.Inp!$C90:$L90,"")=10,"","NULL")</f>
        <v>NULL</v>
      </c>
      <c r="D90" s="6" t="str">
        <f>IF(COUNTIF(Mac.DE110.Inp!$C90:$L90,"")=10,"","NULL")</f>
        <v>NULL</v>
      </c>
      <c r="E90" s="6">
        <f>IF(COUNTIF(Mac.DE110.Inp!$C90:$L90,"")=10,"",$B90)</f>
        <v>89</v>
      </c>
      <c r="F90" s="6">
        <f>IF(COUNTIF(Mac.DE110.Inp!$C90:$L90,"")=10,"",IF(Mac.DE110.Inp!$C90="","NULL",Mac.DE110.Inp!$C90))</f>
        <v>75</v>
      </c>
      <c r="G90" s="6">
        <f>IF(COUNTIF(Mac.DE110.Inp!$C90:$L90,"")=10,"",IF(Mac.DE110.Inp!$D90="","NULL",Mac.DE110.Inp!$D90))</f>
        <v>0</v>
      </c>
      <c r="H90" s="6">
        <f>IF(COUNTIF(Mac.DE110.Inp!$C90:$L90,"")=10,"",IF(Mac.DE110.Inp!$E90="","NULL",Mac.DE110.Inp!$E90))</f>
        <v>75</v>
      </c>
      <c r="I90" s="6">
        <f>IF(COUNTIF(Mac.DE110.Inp!$C90:$L90,"")=10,"",IF(Mac.DE110.Inp!$F90="","NULL",Mac.DE110.Inp!$F90))</f>
        <v>48</v>
      </c>
      <c r="J90" s="6" t="str">
        <f>IF(COUNTIF(Mac.DE110.Inp!$C90:$L90,"")=10,"",IF(Mac.DE110.Inp!$G90="","NULL",""""&amp;Mac.DE110.Inp!$G90&amp;""""))</f>
        <v>"Bright -"</v>
      </c>
      <c r="K90" s="6" t="str">
        <f>IF(COUNTIF(Mac.DE110.Inp!$C90:$L90,"")=10,"",IF(Mac.DE110.Inp!$H90="","NULL",""""&amp;Mac.DE110.Inp!$H90&amp;""""))</f>
        <v>"F1"</v>
      </c>
      <c r="L90" s="6" t="str">
        <f>IF(COUNTIF(Mac.DE110.Inp!$C90:$L90,"")=10,"",IF(Mac.DE110.Inp!$I90="","NULL",""""&amp;Mac.DE110.Inp!$I90&amp;""""))</f>
        <v>NULL</v>
      </c>
      <c r="M90" s="6" t="str">
        <f>IF(COUNTIF(Mac.DE110.Inp!$C90:$L90,"")=10,"",IF(Mac.DE110.Inp!$J90="","NULL",""""&amp;Mac.DE110.Inp!$J90&amp;""""))</f>
        <v>NULL</v>
      </c>
      <c r="N90" s="6">
        <f>IF(COUNTIF(Mac.DE110.Inp!$C90:$L90,"")=10,"",IF(Mac.DE110.Inp!$K90="","NULL",Mac.DE110.Inp!$K90))</f>
        <v>0</v>
      </c>
      <c r="O90" s="6">
        <f>IF(COUNTIF(Mac.DE110.Inp!$C90:$L90,"")=10,"",IF(Mac.DE110.Inp!$L90="","NULL",Mac.DE110.Inp!$L90))</f>
        <v>0</v>
      </c>
      <c r="P90" s="7" t="str">
        <f>IF(COUNTIF(Mac.DE110.Inp!$C90:$L90,"")=10,"","("&amp;aconcat($C90:$O90,",")&amp;"),")</f>
        <v>(NULL,NULL,89,75,0,75,48,"Bright -","F1",NULL,NULL,0,0),</v>
      </c>
    </row>
    <row r="91" spans="1:16" x14ac:dyDescent="0.3">
      <c r="A91" s="1" t="s">
        <v>136</v>
      </c>
      <c r="B91" s="1">
        <f t="shared" si="1"/>
        <v>90</v>
      </c>
      <c r="C91" s="6" t="str">
        <f>IF(COUNTIF(Mac.DE110.Inp!$C91:$L91,"")=10,"","NULL")</f>
        <v>NULL</v>
      </c>
      <c r="D91" s="6" t="str">
        <f>IF(COUNTIF(Mac.DE110.Inp!$C91:$L91,"")=10,"","NULL")</f>
        <v>NULL</v>
      </c>
      <c r="E91" s="6">
        <f>IF(COUNTIF(Mac.DE110.Inp!$C91:$L91,"")=10,"",$B91)</f>
        <v>90</v>
      </c>
      <c r="F91" s="6">
        <f>IF(COUNTIF(Mac.DE110.Inp!$C91:$L91,"")=10,"",IF(Mac.DE110.Inp!$C91="","NULL",Mac.DE110.Inp!$C91))</f>
        <v>149</v>
      </c>
      <c r="G91" s="6">
        <f>IF(COUNTIF(Mac.DE110.Inp!$C91:$L91,"")=10,"",IF(Mac.DE110.Inp!$D91="","NULL",Mac.DE110.Inp!$D91))</f>
        <v>0</v>
      </c>
      <c r="H91" s="6">
        <f>IF(COUNTIF(Mac.DE110.Inp!$C91:$L91,"")=10,"",IF(Mac.DE110.Inp!$E91="","NULL",Mac.DE110.Inp!$E91))</f>
        <v>75</v>
      </c>
      <c r="I91" s="6">
        <f>IF(COUNTIF(Mac.DE110.Inp!$C91:$L91,"")=10,"",IF(Mac.DE110.Inp!$F91="","NULL",Mac.DE110.Inp!$F91))</f>
        <v>48</v>
      </c>
      <c r="J91" s="6" t="str">
        <f>IF(COUNTIF(Mac.DE110.Inp!$C91:$L91,"")=10,"",IF(Mac.DE110.Inp!$G91="","NULL",""""&amp;Mac.DE110.Inp!$G91&amp;""""))</f>
        <v>"Bright +"</v>
      </c>
      <c r="K91" s="6" t="str">
        <f>IF(COUNTIF(Mac.DE110.Inp!$C91:$L91,"")=10,"",IF(Mac.DE110.Inp!$H91="","NULL",""""&amp;Mac.DE110.Inp!$H91&amp;""""))</f>
        <v>"F2"</v>
      </c>
      <c r="L91" s="6" t="str">
        <f>IF(COUNTIF(Mac.DE110.Inp!$C91:$L91,"")=10,"",IF(Mac.DE110.Inp!$I91="","NULL",""""&amp;Mac.DE110.Inp!$I91&amp;""""))</f>
        <v>NULL</v>
      </c>
      <c r="M91" s="6" t="str">
        <f>IF(COUNTIF(Mac.DE110.Inp!$C91:$L91,"")=10,"",IF(Mac.DE110.Inp!$J91="","NULL",""""&amp;Mac.DE110.Inp!$J91&amp;""""))</f>
        <v>NULL</v>
      </c>
      <c r="N91" s="6">
        <f>IF(COUNTIF(Mac.DE110.Inp!$C91:$L91,"")=10,"",IF(Mac.DE110.Inp!$K91="","NULL",Mac.DE110.Inp!$K91))</f>
        <v>0</v>
      </c>
      <c r="O91" s="6">
        <f>IF(COUNTIF(Mac.DE110.Inp!$C91:$L91,"")=10,"",IF(Mac.DE110.Inp!$L91="","NULL",Mac.DE110.Inp!$L91))</f>
        <v>0</v>
      </c>
      <c r="P91" s="7" t="str">
        <f>IF(COUNTIF(Mac.DE110.Inp!$C91:$L91,"")=10,"","("&amp;aconcat($C91:$O91,",")&amp;"),")</f>
        <v>(NULL,NULL,90,149,0,75,48,"Bright +","F2",NULL,NULL,0,0),</v>
      </c>
    </row>
    <row r="92" spans="1:16" x14ac:dyDescent="0.3">
      <c r="A92" s="1" t="s">
        <v>137</v>
      </c>
      <c r="B92" s="1">
        <f t="shared" si="1"/>
        <v>91</v>
      </c>
      <c r="C92" s="6" t="str">
        <f>IF(COUNTIF(Mac.DE110.Inp!$C92:$L92,"")=10,"","NULL")</f>
        <v>NULL</v>
      </c>
      <c r="D92" s="6" t="str">
        <f>IF(COUNTIF(Mac.DE110.Inp!$C92:$L92,"")=10,"","NULL")</f>
        <v>NULL</v>
      </c>
      <c r="E92" s="6">
        <f>IF(COUNTIF(Mac.DE110.Inp!$C92:$L92,"")=10,"",$B92)</f>
        <v>91</v>
      </c>
      <c r="F92" s="6">
        <f>IF(COUNTIF(Mac.DE110.Inp!$C92:$L92,"")=10,"",IF(Mac.DE110.Inp!$C92="","NULL",Mac.DE110.Inp!$C92))</f>
        <v>224</v>
      </c>
      <c r="G92" s="6">
        <f>IF(COUNTIF(Mac.DE110.Inp!$C92:$L92,"")=10,"",IF(Mac.DE110.Inp!$D92="","NULL",Mac.DE110.Inp!$D92))</f>
        <v>0</v>
      </c>
      <c r="H92" s="6">
        <f>IF(COUNTIF(Mac.DE110.Inp!$C92:$L92,"")=10,"",IF(Mac.DE110.Inp!$E92="","NULL",Mac.DE110.Inp!$E92))</f>
        <v>75</v>
      </c>
      <c r="I92" s="6">
        <f>IF(COUNTIF(Mac.DE110.Inp!$C92:$L92,"")=10,"",IF(Mac.DE110.Inp!$F92="","NULL",Mac.DE110.Inp!$F92))</f>
        <v>48</v>
      </c>
      <c r="J92" s="6" t="str">
        <f>IF(COUNTIF(Mac.DE110.Inp!$C92:$L92,"")=10,"",IF(Mac.DE110.Inp!$G92="","NULL",""""&amp;Mac.DE110.Inp!$G92&amp;""""))</f>
        <v>"Exposé"</v>
      </c>
      <c r="K92" s="6" t="str">
        <f>IF(COUNTIF(Mac.DE110.Inp!$C92:$L92,"")=10,"",IF(Mac.DE110.Inp!$H92="","NULL",""""&amp;Mac.DE110.Inp!$H92&amp;""""))</f>
        <v>"F3"</v>
      </c>
      <c r="L92" s="6" t="str">
        <f>IF(COUNTIF(Mac.DE110.Inp!$C92:$L92,"")=10,"",IF(Mac.DE110.Inp!$I92="","NULL",""""&amp;Mac.DE110.Inp!$I92&amp;""""))</f>
        <v>NULL</v>
      </c>
      <c r="M92" s="6" t="str">
        <f>IF(COUNTIF(Mac.DE110.Inp!$C92:$L92,"")=10,"",IF(Mac.DE110.Inp!$J92="","NULL",""""&amp;Mac.DE110.Inp!$J92&amp;""""))</f>
        <v>NULL</v>
      </c>
      <c r="N92" s="6">
        <f>IF(COUNTIF(Mac.DE110.Inp!$C92:$L92,"")=10,"",IF(Mac.DE110.Inp!$K92="","NULL",Mac.DE110.Inp!$K92))</f>
        <v>0</v>
      </c>
      <c r="O92" s="6">
        <f>IF(COUNTIF(Mac.DE110.Inp!$C92:$L92,"")=10,"",IF(Mac.DE110.Inp!$L92="","NULL",Mac.DE110.Inp!$L92))</f>
        <v>0</v>
      </c>
      <c r="P92" s="7" t="str">
        <f>IF(COUNTIF(Mac.DE110.Inp!$C92:$L92,"")=10,"","("&amp;aconcat($C92:$O92,",")&amp;"),")</f>
        <v>(NULL,NULL,91,224,0,75,48,"Exposé","F3",NULL,NULL,0,0),</v>
      </c>
    </row>
    <row r="93" spans="1:16" x14ac:dyDescent="0.3">
      <c r="A93" s="1" t="s">
        <v>138</v>
      </c>
      <c r="B93" s="1">
        <f t="shared" si="1"/>
        <v>92</v>
      </c>
      <c r="C93" s="6" t="str">
        <f>IF(COUNTIF(Mac.DE110.Inp!$C93:$L93,"")=10,"","NULL")</f>
        <v>NULL</v>
      </c>
      <c r="D93" s="6" t="str">
        <f>IF(COUNTIF(Mac.DE110.Inp!$C93:$L93,"")=10,"","NULL")</f>
        <v>NULL</v>
      </c>
      <c r="E93" s="6">
        <f>IF(COUNTIF(Mac.DE110.Inp!$C93:$L93,"")=10,"",$B93)</f>
        <v>92</v>
      </c>
      <c r="F93" s="6">
        <f>IF(COUNTIF(Mac.DE110.Inp!$C93:$L93,"")=10,"",IF(Mac.DE110.Inp!$C93="","NULL",Mac.DE110.Inp!$C93))</f>
        <v>298</v>
      </c>
      <c r="G93" s="6">
        <f>IF(COUNTIF(Mac.DE110.Inp!$C93:$L93,"")=10,"",IF(Mac.DE110.Inp!$D93="","NULL",Mac.DE110.Inp!$D93))</f>
        <v>0</v>
      </c>
      <c r="H93" s="6">
        <f>IF(COUNTIF(Mac.DE110.Inp!$C93:$L93,"")=10,"",IF(Mac.DE110.Inp!$E93="","NULL",Mac.DE110.Inp!$E93))</f>
        <v>75</v>
      </c>
      <c r="I93" s="6">
        <f>IF(COUNTIF(Mac.DE110.Inp!$C93:$L93,"")=10,"",IF(Mac.DE110.Inp!$F93="","NULL",Mac.DE110.Inp!$F93))</f>
        <v>48</v>
      </c>
      <c r="J93" s="6" t="str">
        <f>IF(COUNTIF(Mac.DE110.Inp!$C93:$L93,"")=10,"",IF(Mac.DE110.Inp!$G93="","NULL",""""&amp;Mac.DE110.Inp!$G93&amp;""""))</f>
        <v>"Dashbrd"</v>
      </c>
      <c r="K93" s="6" t="str">
        <f>IF(COUNTIF(Mac.DE110.Inp!$C93:$L93,"")=10,"",IF(Mac.DE110.Inp!$H93="","NULL",""""&amp;Mac.DE110.Inp!$H93&amp;""""))</f>
        <v>"F4"</v>
      </c>
      <c r="L93" s="6" t="str">
        <f>IF(COUNTIF(Mac.DE110.Inp!$C93:$L93,"")=10,"",IF(Mac.DE110.Inp!$I93="","NULL",""""&amp;Mac.DE110.Inp!$I93&amp;""""))</f>
        <v>NULL</v>
      </c>
      <c r="M93" s="6" t="str">
        <f>IF(COUNTIF(Mac.DE110.Inp!$C93:$L93,"")=10,"",IF(Mac.DE110.Inp!$J93="","NULL",""""&amp;Mac.DE110.Inp!$J93&amp;""""))</f>
        <v>NULL</v>
      </c>
      <c r="N93" s="6">
        <f>IF(COUNTIF(Mac.DE110.Inp!$C93:$L93,"")=10,"",IF(Mac.DE110.Inp!$K93="","NULL",Mac.DE110.Inp!$K93))</f>
        <v>0</v>
      </c>
      <c r="O93" s="6">
        <f>IF(COUNTIF(Mac.DE110.Inp!$C93:$L93,"")=10,"",IF(Mac.DE110.Inp!$L93="","NULL",Mac.DE110.Inp!$L93))</f>
        <v>0</v>
      </c>
      <c r="P93" s="7" t="str">
        <f>IF(COUNTIF(Mac.DE110.Inp!$C93:$L93,"")=10,"","("&amp;aconcat($C93:$O93,",")&amp;"),")</f>
        <v>(NULL,NULL,92,298,0,75,48,"Dashbrd","F4",NULL,NULL,0,0),</v>
      </c>
    </row>
    <row r="94" spans="1:16" x14ac:dyDescent="0.3">
      <c r="A94" s="1" t="s">
        <v>139</v>
      </c>
      <c r="B94" s="1">
        <f t="shared" si="1"/>
        <v>93</v>
      </c>
      <c r="C94" s="6" t="str">
        <f>IF(COUNTIF(Mac.DE110.Inp!$C94:$L94,"")=10,"","NULL")</f>
        <v>NULL</v>
      </c>
      <c r="D94" s="6" t="str">
        <f>IF(COUNTIF(Mac.DE110.Inp!$C94:$L94,"")=10,"","NULL")</f>
        <v>NULL</v>
      </c>
      <c r="E94" s="6">
        <f>IF(COUNTIF(Mac.DE110.Inp!$C94:$L94,"")=10,"",$B94)</f>
        <v>93</v>
      </c>
      <c r="F94" s="6">
        <f>IF(COUNTIF(Mac.DE110.Inp!$C94:$L94,"")=10,"",IF(Mac.DE110.Inp!$C94="","NULL",Mac.DE110.Inp!$C94))</f>
        <v>373</v>
      </c>
      <c r="G94" s="6">
        <f>IF(COUNTIF(Mac.DE110.Inp!$C94:$L94,"")=10,"",IF(Mac.DE110.Inp!$D94="","NULL",Mac.DE110.Inp!$D94))</f>
        <v>0</v>
      </c>
      <c r="H94" s="6">
        <f>IF(COUNTIF(Mac.DE110.Inp!$C94:$L94,"")=10,"",IF(Mac.DE110.Inp!$E94="","NULL",Mac.DE110.Inp!$E94))</f>
        <v>75</v>
      </c>
      <c r="I94" s="6">
        <f>IF(COUNTIF(Mac.DE110.Inp!$C94:$L94,"")=10,"",IF(Mac.DE110.Inp!$F94="","NULL",Mac.DE110.Inp!$F94))</f>
        <v>48</v>
      </c>
      <c r="J94" s="6" t="str">
        <f>IF(COUNTIF(Mac.DE110.Inp!$C94:$L94,"")=10,"",IF(Mac.DE110.Inp!$G94="","NULL",""""&amp;Mac.DE110.Inp!$G94&amp;""""))</f>
        <v>NULL</v>
      </c>
      <c r="K94" s="6" t="str">
        <f>IF(COUNTIF(Mac.DE110.Inp!$C94:$L94,"")=10,"",IF(Mac.DE110.Inp!$H94="","NULL",""""&amp;Mac.DE110.Inp!$H94&amp;""""))</f>
        <v>"F5"</v>
      </c>
      <c r="L94" s="6" t="str">
        <f>IF(COUNTIF(Mac.DE110.Inp!$C94:$L94,"")=10,"",IF(Mac.DE110.Inp!$I94="","NULL",""""&amp;Mac.DE110.Inp!$I94&amp;""""))</f>
        <v>NULL</v>
      </c>
      <c r="M94" s="6" t="str">
        <f>IF(COUNTIF(Mac.DE110.Inp!$C94:$L94,"")=10,"",IF(Mac.DE110.Inp!$J94="","NULL",""""&amp;Mac.DE110.Inp!$J94&amp;""""))</f>
        <v>NULL</v>
      </c>
      <c r="N94" s="6">
        <f>IF(COUNTIF(Mac.DE110.Inp!$C94:$L94,"")=10,"",IF(Mac.DE110.Inp!$K94="","NULL",Mac.DE110.Inp!$K94))</f>
        <v>0</v>
      </c>
      <c r="O94" s="6">
        <f>IF(COUNTIF(Mac.DE110.Inp!$C94:$L94,"")=10,"",IF(Mac.DE110.Inp!$L94="","NULL",Mac.DE110.Inp!$L94))</f>
        <v>0</v>
      </c>
      <c r="P94" s="7" t="str">
        <f>IF(COUNTIF(Mac.DE110.Inp!$C94:$L94,"")=10,"","("&amp;aconcat($C94:$O94,",")&amp;"),")</f>
        <v>(NULL,NULL,93,373,0,75,48,NULL,"F5",NULL,NULL,0,0),</v>
      </c>
    </row>
    <row r="95" spans="1:16" x14ac:dyDescent="0.3">
      <c r="A95" s="1" t="s">
        <v>140</v>
      </c>
      <c r="B95" s="1">
        <f t="shared" si="1"/>
        <v>94</v>
      </c>
      <c r="C95" s="6" t="str">
        <f>IF(COUNTIF(Mac.DE110.Inp!$C95:$L95,"")=10,"","NULL")</f>
        <v>NULL</v>
      </c>
      <c r="D95" s="6" t="str">
        <f>IF(COUNTIF(Mac.DE110.Inp!$C95:$L95,"")=10,"","NULL")</f>
        <v>NULL</v>
      </c>
      <c r="E95" s="6">
        <f>IF(COUNTIF(Mac.DE110.Inp!$C95:$L95,"")=10,"",$B95)</f>
        <v>94</v>
      </c>
      <c r="F95" s="6">
        <f>IF(COUNTIF(Mac.DE110.Inp!$C95:$L95,"")=10,"",IF(Mac.DE110.Inp!$C95="","NULL",Mac.DE110.Inp!$C95))</f>
        <v>447</v>
      </c>
      <c r="G95" s="6">
        <f>IF(COUNTIF(Mac.DE110.Inp!$C95:$L95,"")=10,"",IF(Mac.DE110.Inp!$D95="","NULL",Mac.DE110.Inp!$D95))</f>
        <v>0</v>
      </c>
      <c r="H95" s="6">
        <f>IF(COUNTIF(Mac.DE110.Inp!$C95:$L95,"")=10,"",IF(Mac.DE110.Inp!$E95="","NULL",Mac.DE110.Inp!$E95))</f>
        <v>75</v>
      </c>
      <c r="I95" s="6">
        <f>IF(COUNTIF(Mac.DE110.Inp!$C95:$L95,"")=10,"",IF(Mac.DE110.Inp!$F95="","NULL",Mac.DE110.Inp!$F95))</f>
        <v>48</v>
      </c>
      <c r="J95" s="6" t="str">
        <f>IF(COUNTIF(Mac.DE110.Inp!$C95:$L95,"")=10,"",IF(Mac.DE110.Inp!$G95="","NULL",""""&amp;Mac.DE110.Inp!$G95&amp;""""))</f>
        <v>NULL</v>
      </c>
      <c r="K95" s="6" t="str">
        <f>IF(COUNTIF(Mac.DE110.Inp!$C95:$L95,"")=10,"",IF(Mac.DE110.Inp!$H95="","NULL",""""&amp;Mac.DE110.Inp!$H95&amp;""""))</f>
        <v>"F6"</v>
      </c>
      <c r="L95" s="6" t="str">
        <f>IF(COUNTIF(Mac.DE110.Inp!$C95:$L95,"")=10,"",IF(Mac.DE110.Inp!$I95="","NULL",""""&amp;Mac.DE110.Inp!$I95&amp;""""))</f>
        <v>NULL</v>
      </c>
      <c r="M95" s="6" t="str">
        <f>IF(COUNTIF(Mac.DE110.Inp!$C95:$L95,"")=10,"",IF(Mac.DE110.Inp!$J95="","NULL",""""&amp;Mac.DE110.Inp!$J95&amp;""""))</f>
        <v>NULL</v>
      </c>
      <c r="N95" s="6">
        <f>IF(COUNTIF(Mac.DE110.Inp!$C95:$L95,"")=10,"",IF(Mac.DE110.Inp!$K95="","NULL",Mac.DE110.Inp!$K95))</f>
        <v>0</v>
      </c>
      <c r="O95" s="6">
        <f>IF(COUNTIF(Mac.DE110.Inp!$C95:$L95,"")=10,"",IF(Mac.DE110.Inp!$L95="","NULL",Mac.DE110.Inp!$L95))</f>
        <v>0</v>
      </c>
      <c r="P95" s="7" t="str">
        <f>IF(COUNTIF(Mac.DE110.Inp!$C95:$L95,"")=10,"","("&amp;aconcat($C95:$O95,",")&amp;"),")</f>
        <v>(NULL,NULL,94,447,0,75,48,NULL,"F6",NULL,NULL,0,0),</v>
      </c>
    </row>
    <row r="96" spans="1:16" x14ac:dyDescent="0.3">
      <c r="A96" s="1" t="s">
        <v>141</v>
      </c>
      <c r="B96" s="1">
        <f t="shared" si="1"/>
        <v>95</v>
      </c>
      <c r="C96" s="6" t="str">
        <f>IF(COUNTIF(Mac.DE110.Inp!$C96:$L96,"")=10,"","NULL")</f>
        <v>NULL</v>
      </c>
      <c r="D96" s="6" t="str">
        <f>IF(COUNTIF(Mac.DE110.Inp!$C96:$L96,"")=10,"","NULL")</f>
        <v>NULL</v>
      </c>
      <c r="E96" s="6">
        <f>IF(COUNTIF(Mac.DE110.Inp!$C96:$L96,"")=10,"",$B96)</f>
        <v>95</v>
      </c>
      <c r="F96" s="6">
        <f>IF(COUNTIF(Mac.DE110.Inp!$C96:$L96,"")=10,"",IF(Mac.DE110.Inp!$C96="","NULL",Mac.DE110.Inp!$C96))</f>
        <v>522</v>
      </c>
      <c r="G96" s="6">
        <f>IF(COUNTIF(Mac.DE110.Inp!$C96:$L96,"")=10,"",IF(Mac.DE110.Inp!$D96="","NULL",Mac.DE110.Inp!$D96))</f>
        <v>0</v>
      </c>
      <c r="H96" s="6">
        <f>IF(COUNTIF(Mac.DE110.Inp!$C96:$L96,"")=10,"",IF(Mac.DE110.Inp!$E96="","NULL",Mac.DE110.Inp!$E96))</f>
        <v>75</v>
      </c>
      <c r="I96" s="6">
        <f>IF(COUNTIF(Mac.DE110.Inp!$C96:$L96,"")=10,"",IF(Mac.DE110.Inp!$F96="","NULL",Mac.DE110.Inp!$F96))</f>
        <v>48</v>
      </c>
      <c r="J96" s="6" t="str">
        <f>IF(COUNTIF(Mac.DE110.Inp!$C96:$L96,"")=10,"",IF(Mac.DE110.Inp!$G96="","NULL",""""&amp;Mac.DE110.Inp!$G96&amp;""""))</f>
        <v>"Track -"</v>
      </c>
      <c r="K96" s="6" t="str">
        <f>IF(COUNTIF(Mac.DE110.Inp!$C96:$L96,"")=10,"",IF(Mac.DE110.Inp!$H96="","NULL",""""&amp;Mac.DE110.Inp!$H96&amp;""""))</f>
        <v>"F7"</v>
      </c>
      <c r="L96" s="6" t="str">
        <f>IF(COUNTIF(Mac.DE110.Inp!$C96:$L96,"")=10,"",IF(Mac.DE110.Inp!$I96="","NULL",""""&amp;Mac.DE110.Inp!$I96&amp;""""))</f>
        <v>NULL</v>
      </c>
      <c r="M96" s="6" t="str">
        <f>IF(COUNTIF(Mac.DE110.Inp!$C96:$L96,"")=10,"",IF(Mac.DE110.Inp!$J96="","NULL",""""&amp;Mac.DE110.Inp!$J96&amp;""""))</f>
        <v>NULL</v>
      </c>
      <c r="N96" s="6">
        <f>IF(COUNTIF(Mac.DE110.Inp!$C96:$L96,"")=10,"",IF(Mac.DE110.Inp!$K96="","NULL",Mac.DE110.Inp!$K96))</f>
        <v>0</v>
      </c>
      <c r="O96" s="6">
        <f>IF(COUNTIF(Mac.DE110.Inp!$C96:$L96,"")=10,"",IF(Mac.DE110.Inp!$L96="","NULL",Mac.DE110.Inp!$L96))</f>
        <v>0</v>
      </c>
      <c r="P96" s="7" t="str">
        <f>IF(COUNTIF(Mac.DE110.Inp!$C96:$L96,"")=10,"","("&amp;aconcat($C96:$O96,",")&amp;"),")</f>
        <v>(NULL,NULL,95,522,0,75,48,"Track -","F7",NULL,NULL,0,0),</v>
      </c>
    </row>
    <row r="97" spans="1:16" x14ac:dyDescent="0.3">
      <c r="A97" s="1" t="s">
        <v>142</v>
      </c>
      <c r="B97" s="1">
        <f t="shared" si="1"/>
        <v>96</v>
      </c>
      <c r="C97" s="6" t="str">
        <f>IF(COUNTIF(Mac.DE110.Inp!$C97:$L97,"")=10,"","NULL")</f>
        <v>NULL</v>
      </c>
      <c r="D97" s="6" t="str">
        <f>IF(COUNTIF(Mac.DE110.Inp!$C97:$L97,"")=10,"","NULL")</f>
        <v>NULL</v>
      </c>
      <c r="E97" s="6">
        <f>IF(COUNTIF(Mac.DE110.Inp!$C97:$L97,"")=10,"",$B97)</f>
        <v>96</v>
      </c>
      <c r="F97" s="6">
        <f>IF(COUNTIF(Mac.DE110.Inp!$C97:$L97,"")=10,"",IF(Mac.DE110.Inp!$C97="","NULL",Mac.DE110.Inp!$C97))</f>
        <v>597</v>
      </c>
      <c r="G97" s="6">
        <f>IF(COUNTIF(Mac.DE110.Inp!$C97:$L97,"")=10,"",IF(Mac.DE110.Inp!$D97="","NULL",Mac.DE110.Inp!$D97))</f>
        <v>0</v>
      </c>
      <c r="H97" s="6">
        <f>IF(COUNTIF(Mac.DE110.Inp!$C97:$L97,"")=10,"",IF(Mac.DE110.Inp!$E97="","NULL",Mac.DE110.Inp!$E97))</f>
        <v>75</v>
      </c>
      <c r="I97" s="6">
        <f>IF(COUNTIF(Mac.DE110.Inp!$C97:$L97,"")=10,"",IF(Mac.DE110.Inp!$F97="","NULL",Mac.DE110.Inp!$F97))</f>
        <v>48</v>
      </c>
      <c r="J97" s="6" t="str">
        <f>IF(COUNTIF(Mac.DE110.Inp!$C97:$L97,"")=10,"",IF(Mac.DE110.Inp!$G97="","NULL",""""&amp;Mac.DE110.Inp!$G97&amp;""""))</f>
        <v>"Play"</v>
      </c>
      <c r="K97" s="6" t="str">
        <f>IF(COUNTIF(Mac.DE110.Inp!$C97:$L97,"")=10,"",IF(Mac.DE110.Inp!$H97="","NULL",""""&amp;Mac.DE110.Inp!$H97&amp;""""))</f>
        <v>"F8"</v>
      </c>
      <c r="L97" s="6" t="str">
        <f>IF(COUNTIF(Mac.DE110.Inp!$C97:$L97,"")=10,"",IF(Mac.DE110.Inp!$I97="","NULL",""""&amp;Mac.DE110.Inp!$I97&amp;""""))</f>
        <v>NULL</v>
      </c>
      <c r="M97" s="6" t="str">
        <f>IF(COUNTIF(Mac.DE110.Inp!$C97:$L97,"")=10,"",IF(Mac.DE110.Inp!$J97="","NULL",""""&amp;Mac.DE110.Inp!$J97&amp;""""))</f>
        <v>NULL</v>
      </c>
      <c r="N97" s="6">
        <f>IF(COUNTIF(Mac.DE110.Inp!$C97:$L97,"")=10,"",IF(Mac.DE110.Inp!$K97="","NULL",Mac.DE110.Inp!$K97))</f>
        <v>0</v>
      </c>
      <c r="O97" s="6">
        <f>IF(COUNTIF(Mac.DE110.Inp!$C97:$L97,"")=10,"",IF(Mac.DE110.Inp!$L97="","NULL",Mac.DE110.Inp!$L97))</f>
        <v>0</v>
      </c>
      <c r="P97" s="7" t="str">
        <f>IF(COUNTIF(Mac.DE110.Inp!$C97:$L97,"")=10,"","("&amp;aconcat($C97:$O97,",")&amp;"),")</f>
        <v>(NULL,NULL,96,597,0,75,48,"Play","F8",NULL,NULL,0,0),</v>
      </c>
    </row>
    <row r="98" spans="1:16" x14ac:dyDescent="0.3">
      <c r="A98" s="1" t="s">
        <v>143</v>
      </c>
      <c r="B98" s="1">
        <f t="shared" si="1"/>
        <v>97</v>
      </c>
      <c r="C98" s="6" t="str">
        <f>IF(COUNTIF(Mac.DE110.Inp!$C98:$L98,"")=10,"","NULL")</f>
        <v>NULL</v>
      </c>
      <c r="D98" s="6" t="str">
        <f>IF(COUNTIF(Mac.DE110.Inp!$C98:$L98,"")=10,"","NULL")</f>
        <v>NULL</v>
      </c>
      <c r="E98" s="6">
        <f>IF(COUNTIF(Mac.DE110.Inp!$C98:$L98,"")=10,"",$B98)</f>
        <v>97</v>
      </c>
      <c r="F98" s="6">
        <f>IF(COUNTIF(Mac.DE110.Inp!$C98:$L98,"")=10,"",IF(Mac.DE110.Inp!$C98="","NULL",Mac.DE110.Inp!$C98))</f>
        <v>671</v>
      </c>
      <c r="G98" s="6">
        <f>IF(COUNTIF(Mac.DE110.Inp!$C98:$L98,"")=10,"",IF(Mac.DE110.Inp!$D98="","NULL",Mac.DE110.Inp!$D98))</f>
        <v>0</v>
      </c>
      <c r="H98" s="6">
        <f>IF(COUNTIF(Mac.DE110.Inp!$C98:$L98,"")=10,"",IF(Mac.DE110.Inp!$E98="","NULL",Mac.DE110.Inp!$E98))</f>
        <v>75</v>
      </c>
      <c r="I98" s="6">
        <f>IF(COUNTIF(Mac.DE110.Inp!$C98:$L98,"")=10,"",IF(Mac.DE110.Inp!$F98="","NULL",Mac.DE110.Inp!$F98))</f>
        <v>48</v>
      </c>
      <c r="J98" s="6" t="str">
        <f>IF(COUNTIF(Mac.DE110.Inp!$C98:$L98,"")=10,"",IF(Mac.DE110.Inp!$G98="","NULL",""""&amp;Mac.DE110.Inp!$G98&amp;""""))</f>
        <v>"Track +"</v>
      </c>
      <c r="K98" s="6" t="str">
        <f>IF(COUNTIF(Mac.DE110.Inp!$C98:$L98,"")=10,"",IF(Mac.DE110.Inp!$H98="","NULL",""""&amp;Mac.DE110.Inp!$H98&amp;""""))</f>
        <v>"F9"</v>
      </c>
      <c r="L98" s="6" t="str">
        <f>IF(COUNTIF(Mac.DE110.Inp!$C98:$L98,"")=10,"",IF(Mac.DE110.Inp!$I98="","NULL",""""&amp;Mac.DE110.Inp!$I98&amp;""""))</f>
        <v>NULL</v>
      </c>
      <c r="M98" s="6" t="str">
        <f>IF(COUNTIF(Mac.DE110.Inp!$C98:$L98,"")=10,"",IF(Mac.DE110.Inp!$J98="","NULL",""""&amp;Mac.DE110.Inp!$J98&amp;""""))</f>
        <v>NULL</v>
      </c>
      <c r="N98" s="6">
        <f>IF(COUNTIF(Mac.DE110.Inp!$C98:$L98,"")=10,"",IF(Mac.DE110.Inp!$K98="","NULL",Mac.DE110.Inp!$K98))</f>
        <v>0</v>
      </c>
      <c r="O98" s="6">
        <f>IF(COUNTIF(Mac.DE110.Inp!$C98:$L98,"")=10,"",IF(Mac.DE110.Inp!$L98="","NULL",Mac.DE110.Inp!$L98))</f>
        <v>0</v>
      </c>
      <c r="P98" s="7" t="str">
        <f>IF(COUNTIF(Mac.DE110.Inp!$C98:$L98,"")=10,"","("&amp;aconcat($C98:$O98,",")&amp;"),")</f>
        <v>(NULL,NULL,97,671,0,75,48,"Track +","F9",NULL,NULL,0,0),</v>
      </c>
    </row>
    <row r="99" spans="1:16" x14ac:dyDescent="0.3">
      <c r="A99" s="1" t="s">
        <v>144</v>
      </c>
      <c r="B99" s="1">
        <f t="shared" si="1"/>
        <v>98</v>
      </c>
      <c r="C99" s="6" t="str">
        <f>IF(COUNTIF(Mac.DE110.Inp!$C99:$L99,"")=10,"","NULL")</f>
        <v>NULL</v>
      </c>
      <c r="D99" s="6" t="str">
        <f>IF(COUNTIF(Mac.DE110.Inp!$C99:$L99,"")=10,"","NULL")</f>
        <v>NULL</v>
      </c>
      <c r="E99" s="6">
        <f>IF(COUNTIF(Mac.DE110.Inp!$C99:$L99,"")=10,"",$B99)</f>
        <v>98</v>
      </c>
      <c r="F99" s="6">
        <f>IF(COUNTIF(Mac.DE110.Inp!$C99:$L99,"")=10,"",IF(Mac.DE110.Inp!$C99="","NULL",Mac.DE110.Inp!$C99))</f>
        <v>746</v>
      </c>
      <c r="G99" s="6">
        <f>IF(COUNTIF(Mac.DE110.Inp!$C99:$L99,"")=10,"",IF(Mac.DE110.Inp!$D99="","NULL",Mac.DE110.Inp!$D99))</f>
        <v>0</v>
      </c>
      <c r="H99" s="6">
        <f>IF(COUNTIF(Mac.DE110.Inp!$C99:$L99,"")=10,"",IF(Mac.DE110.Inp!$E99="","NULL",Mac.DE110.Inp!$E99))</f>
        <v>75</v>
      </c>
      <c r="I99" s="6">
        <f>IF(COUNTIF(Mac.DE110.Inp!$C99:$L99,"")=10,"",IF(Mac.DE110.Inp!$F99="","NULL",Mac.DE110.Inp!$F99))</f>
        <v>48</v>
      </c>
      <c r="J99" s="6" t="str">
        <f>IF(COUNTIF(Mac.DE110.Inp!$C99:$L99,"")=10,"",IF(Mac.DE110.Inp!$G99="","NULL",""""&amp;Mac.DE110.Inp!$G99&amp;""""))</f>
        <v>"Mute"</v>
      </c>
      <c r="K99" s="6" t="str">
        <f>IF(COUNTIF(Mac.DE110.Inp!$C99:$L99,"")=10,"",IF(Mac.DE110.Inp!$H99="","NULL",""""&amp;Mac.DE110.Inp!$H99&amp;""""))</f>
        <v>"F10"</v>
      </c>
      <c r="L99" s="6" t="str">
        <f>IF(COUNTIF(Mac.DE110.Inp!$C99:$L99,"")=10,"",IF(Mac.DE110.Inp!$I99="","NULL",""""&amp;Mac.DE110.Inp!$I99&amp;""""))</f>
        <v>NULL</v>
      </c>
      <c r="M99" s="6" t="str">
        <f>IF(COUNTIF(Mac.DE110.Inp!$C99:$L99,"")=10,"",IF(Mac.DE110.Inp!$J99="","NULL",""""&amp;Mac.DE110.Inp!$J99&amp;""""))</f>
        <v>NULL</v>
      </c>
      <c r="N99" s="6">
        <f>IF(COUNTIF(Mac.DE110.Inp!$C99:$L99,"")=10,"",IF(Mac.DE110.Inp!$K99="","NULL",Mac.DE110.Inp!$K99))</f>
        <v>0</v>
      </c>
      <c r="O99" s="6">
        <f>IF(COUNTIF(Mac.DE110.Inp!$C99:$L99,"")=10,"",IF(Mac.DE110.Inp!$L99="","NULL",Mac.DE110.Inp!$L99))</f>
        <v>0</v>
      </c>
      <c r="P99" s="7" t="str">
        <f>IF(COUNTIF(Mac.DE110.Inp!$C99:$L99,"")=10,"","("&amp;aconcat($C99:$O99,",")&amp;"),")</f>
        <v>(NULL,NULL,98,746,0,75,48,"Mute","F10",NULL,NULL,0,0),</v>
      </c>
    </row>
    <row r="100" spans="1:16" x14ac:dyDescent="0.3">
      <c r="A100" s="1" t="s">
        <v>145</v>
      </c>
      <c r="B100" s="1">
        <f t="shared" si="1"/>
        <v>99</v>
      </c>
      <c r="C100" s="6" t="str">
        <f>IF(COUNTIF(Mac.DE110.Inp!$C100:$L100,"")=10,"","NULL")</f>
        <v>NULL</v>
      </c>
      <c r="D100" s="6" t="str">
        <f>IF(COUNTIF(Mac.DE110.Inp!$C100:$L100,"")=10,"","NULL")</f>
        <v>NULL</v>
      </c>
      <c r="E100" s="6">
        <f>IF(COUNTIF(Mac.DE110.Inp!$C100:$L100,"")=10,"",$B100)</f>
        <v>99</v>
      </c>
      <c r="F100" s="6">
        <f>IF(COUNTIF(Mac.DE110.Inp!$C100:$L100,"")=10,"",IF(Mac.DE110.Inp!$C100="","NULL",Mac.DE110.Inp!$C100))</f>
        <v>820</v>
      </c>
      <c r="G100" s="6">
        <f>IF(COUNTIF(Mac.DE110.Inp!$C100:$L100,"")=10,"",IF(Mac.DE110.Inp!$D100="","NULL",Mac.DE110.Inp!$D100))</f>
        <v>0</v>
      </c>
      <c r="H100" s="6">
        <f>IF(COUNTIF(Mac.DE110.Inp!$C100:$L100,"")=10,"",IF(Mac.DE110.Inp!$E100="","NULL",Mac.DE110.Inp!$E100))</f>
        <v>75</v>
      </c>
      <c r="I100" s="6">
        <f>IF(COUNTIF(Mac.DE110.Inp!$C100:$L100,"")=10,"",IF(Mac.DE110.Inp!$F100="","NULL",Mac.DE110.Inp!$F100))</f>
        <v>48</v>
      </c>
      <c r="J100" s="6" t="str">
        <f>IF(COUNTIF(Mac.DE110.Inp!$C100:$L100,"")=10,"",IF(Mac.DE110.Inp!$G100="","NULL",""""&amp;Mac.DE110.Inp!$G100&amp;""""))</f>
        <v>"Vol -"</v>
      </c>
      <c r="K100" s="6" t="str">
        <f>IF(COUNTIF(Mac.DE110.Inp!$C100:$L100,"")=10,"",IF(Mac.DE110.Inp!$H100="","NULL",""""&amp;Mac.DE110.Inp!$H100&amp;""""))</f>
        <v>"F11"</v>
      </c>
      <c r="L100" s="6" t="str">
        <f>IF(COUNTIF(Mac.DE110.Inp!$C100:$L100,"")=10,"",IF(Mac.DE110.Inp!$I100="","NULL",""""&amp;Mac.DE110.Inp!$I100&amp;""""))</f>
        <v>NULL</v>
      </c>
      <c r="M100" s="6" t="str">
        <f>IF(COUNTIF(Mac.DE110.Inp!$C100:$L100,"")=10,"",IF(Mac.DE110.Inp!$J100="","NULL",""""&amp;Mac.DE110.Inp!$J100&amp;""""))</f>
        <v>NULL</v>
      </c>
      <c r="N100" s="6">
        <f>IF(COUNTIF(Mac.DE110.Inp!$C100:$L100,"")=10,"",IF(Mac.DE110.Inp!$K100="","NULL",Mac.DE110.Inp!$K100))</f>
        <v>0</v>
      </c>
      <c r="O100" s="6">
        <f>IF(COUNTIF(Mac.DE110.Inp!$C100:$L100,"")=10,"",IF(Mac.DE110.Inp!$L100="","NULL",Mac.DE110.Inp!$L100))</f>
        <v>0</v>
      </c>
      <c r="P100" s="7" t="str">
        <f>IF(COUNTIF(Mac.DE110.Inp!$C100:$L100,"")=10,"","("&amp;aconcat($C100:$O100,",")&amp;"),")</f>
        <v>(NULL,NULL,99,820,0,75,48,"Vol -","F11",NULL,NULL,0,0),</v>
      </c>
    </row>
    <row r="101" spans="1:16" x14ac:dyDescent="0.3">
      <c r="A101" s="1" t="s">
        <v>146</v>
      </c>
      <c r="B101" s="1">
        <f t="shared" si="1"/>
        <v>100</v>
      </c>
      <c r="C101" s="6" t="str">
        <f>IF(COUNTIF(Mac.DE110.Inp!$C101:$L101,"")=10,"","NULL")</f>
        <v>NULL</v>
      </c>
      <c r="D101" s="6" t="str">
        <f>IF(COUNTIF(Mac.DE110.Inp!$C101:$L101,"")=10,"","NULL")</f>
        <v>NULL</v>
      </c>
      <c r="E101" s="6">
        <f>IF(COUNTIF(Mac.DE110.Inp!$C101:$L101,"")=10,"",$B101)</f>
        <v>100</v>
      </c>
      <c r="F101" s="6">
        <f>IF(COUNTIF(Mac.DE110.Inp!$C101:$L101,"")=10,"",IF(Mac.DE110.Inp!$C101="","NULL",Mac.DE110.Inp!$C101))</f>
        <v>895</v>
      </c>
      <c r="G101" s="6">
        <f>IF(COUNTIF(Mac.DE110.Inp!$C101:$L101,"")=10,"",IF(Mac.DE110.Inp!$D101="","NULL",Mac.DE110.Inp!$D101))</f>
        <v>0</v>
      </c>
      <c r="H101" s="6">
        <f>IF(COUNTIF(Mac.DE110.Inp!$C101:$L101,"")=10,"",IF(Mac.DE110.Inp!$E101="","NULL",Mac.DE110.Inp!$E101))</f>
        <v>75</v>
      </c>
      <c r="I101" s="6">
        <f>IF(COUNTIF(Mac.DE110.Inp!$C101:$L101,"")=10,"",IF(Mac.DE110.Inp!$F101="","NULL",Mac.DE110.Inp!$F101))</f>
        <v>48</v>
      </c>
      <c r="J101" s="6" t="str">
        <f>IF(COUNTIF(Mac.DE110.Inp!$C101:$L101,"")=10,"",IF(Mac.DE110.Inp!$G101="","NULL",""""&amp;Mac.DE110.Inp!$G101&amp;""""))</f>
        <v>"Vol +"</v>
      </c>
      <c r="K101" s="6" t="str">
        <f>IF(COUNTIF(Mac.DE110.Inp!$C101:$L101,"")=10,"",IF(Mac.DE110.Inp!$H101="","NULL",""""&amp;Mac.DE110.Inp!$H101&amp;""""))</f>
        <v>"F12"</v>
      </c>
      <c r="L101" s="6" t="str">
        <f>IF(COUNTIF(Mac.DE110.Inp!$C101:$L101,"")=10,"",IF(Mac.DE110.Inp!$I101="","NULL",""""&amp;Mac.DE110.Inp!$I101&amp;""""))</f>
        <v>NULL</v>
      </c>
      <c r="M101" s="6" t="str">
        <f>IF(COUNTIF(Mac.DE110.Inp!$C101:$L101,"")=10,"",IF(Mac.DE110.Inp!$J101="","NULL",""""&amp;Mac.DE110.Inp!$J101&amp;""""))</f>
        <v>NULL</v>
      </c>
      <c r="N101" s="6">
        <f>IF(COUNTIF(Mac.DE110.Inp!$C101:$L101,"")=10,"",IF(Mac.DE110.Inp!$K101="","NULL",Mac.DE110.Inp!$K101))</f>
        <v>0</v>
      </c>
      <c r="O101" s="6">
        <f>IF(COUNTIF(Mac.DE110.Inp!$C101:$L101,"")=10,"",IF(Mac.DE110.Inp!$L101="","NULL",Mac.DE110.Inp!$L101))</f>
        <v>0</v>
      </c>
      <c r="P101" s="7" t="str">
        <f>IF(COUNTIF(Mac.DE110.Inp!$C101:$L101,"")=10,"","("&amp;aconcat($C101:$O101,",")&amp;"),")</f>
        <v>(NULL,NULL,100,895,0,75,48,"Vol +","F12",NULL,NULL,0,0),</v>
      </c>
    </row>
    <row r="102" spans="1:16" x14ac:dyDescent="0.3">
      <c r="A102" s="1" t="s">
        <v>246</v>
      </c>
      <c r="B102" s="1">
        <f t="shared" si="1"/>
        <v>101</v>
      </c>
      <c r="C102" s="6" t="str">
        <f>IF(COUNTIF(Mac.DE110.Inp!$C102:$L102,"")=10,"","NULL")</f>
        <v/>
      </c>
      <c r="D102" s="6" t="str">
        <f>IF(COUNTIF(Mac.DE110.Inp!$C102:$L102,"")=10,"","NULL")</f>
        <v/>
      </c>
      <c r="E102" s="6" t="str">
        <f>IF(COUNTIF(Mac.DE110.Inp!$C102:$L102,"")=10,"",$B102)</f>
        <v/>
      </c>
      <c r="F102" s="6" t="str">
        <f>IF(COUNTIF(Mac.DE110.Inp!$C102:$L102,"")=10,"",IF(Mac.DE110.Inp!$C102="","NULL",Mac.DE110.Inp!$C102))</f>
        <v/>
      </c>
      <c r="G102" s="6" t="str">
        <f>IF(COUNTIF(Mac.DE110.Inp!$C102:$L102,"")=10,"",IF(Mac.DE110.Inp!$D102="","NULL",Mac.DE110.Inp!$D102))</f>
        <v/>
      </c>
      <c r="H102" s="6" t="str">
        <f>IF(COUNTIF(Mac.DE110.Inp!$C102:$L102,"")=10,"",IF(Mac.DE110.Inp!$E102="","NULL",Mac.DE110.Inp!$E102))</f>
        <v/>
      </c>
      <c r="I102" s="6" t="str">
        <f>IF(COUNTIF(Mac.DE110.Inp!$C102:$L102,"")=10,"",IF(Mac.DE110.Inp!$F102="","NULL",Mac.DE110.Inp!$F102))</f>
        <v/>
      </c>
      <c r="J102" s="6" t="str">
        <f>IF(COUNTIF(Mac.DE110.Inp!$C102:$L102,"")=10,"",IF(Mac.DE110.Inp!$G102="","NULL",""""&amp;Mac.DE110.Inp!$G102&amp;""""))</f>
        <v/>
      </c>
      <c r="K102" s="6" t="str">
        <f>IF(COUNTIF(Mac.DE110.Inp!$C102:$L102,"")=10,"",IF(Mac.DE110.Inp!$H102="","NULL",""""&amp;Mac.DE110.Inp!$H102&amp;""""))</f>
        <v/>
      </c>
      <c r="L102" s="6" t="str">
        <f>IF(COUNTIF(Mac.DE110.Inp!$C102:$L102,"")=10,"",IF(Mac.DE110.Inp!$I102="","NULL",""""&amp;Mac.DE110.Inp!$I102&amp;""""))</f>
        <v/>
      </c>
      <c r="M102" s="6" t="str">
        <f>IF(COUNTIF(Mac.DE110.Inp!$C102:$L102,"")=10,"",IF(Mac.DE110.Inp!$J102="","NULL",""""&amp;Mac.DE110.Inp!$J102&amp;""""))</f>
        <v/>
      </c>
      <c r="N102" s="6" t="str">
        <f>IF(COUNTIF(Mac.DE110.Inp!$C102:$L102,"")=10,"",IF(Mac.DE110.Inp!$K102="","NULL",Mac.DE110.Inp!$K102))</f>
        <v/>
      </c>
      <c r="O102" s="6" t="str">
        <f>IF(COUNTIF(Mac.DE110.Inp!$C102:$L102,"")=10,"",IF(Mac.DE110.Inp!$L102="","NULL",Mac.DE110.Inp!$L102))</f>
        <v/>
      </c>
      <c r="P102" s="7" t="str">
        <f>IF(COUNTIF(Mac.DE110.Inp!$C102:$L102,"")=10,"","("&amp;aconcat($C102:$O102,",")&amp;"),")</f>
        <v/>
      </c>
    </row>
    <row r="103" spans="1:16" x14ac:dyDescent="0.3">
      <c r="A103" s="1" t="s">
        <v>246</v>
      </c>
      <c r="B103" s="1">
        <f t="shared" si="1"/>
        <v>102</v>
      </c>
      <c r="C103" s="6" t="str">
        <f>IF(COUNTIF(Mac.DE110.Inp!$C103:$L103,"")=10,"","NULL")</f>
        <v/>
      </c>
      <c r="D103" s="6" t="str">
        <f>IF(COUNTIF(Mac.DE110.Inp!$C103:$L103,"")=10,"","NULL")</f>
        <v/>
      </c>
      <c r="E103" s="6" t="str">
        <f>IF(COUNTIF(Mac.DE110.Inp!$C103:$L103,"")=10,"",$B103)</f>
        <v/>
      </c>
      <c r="F103" s="6" t="str">
        <f>IF(COUNTIF(Mac.DE110.Inp!$C103:$L103,"")=10,"",IF(Mac.DE110.Inp!$C103="","NULL",Mac.DE110.Inp!$C103))</f>
        <v/>
      </c>
      <c r="G103" s="6" t="str">
        <f>IF(COUNTIF(Mac.DE110.Inp!$C103:$L103,"")=10,"",IF(Mac.DE110.Inp!$D103="","NULL",Mac.DE110.Inp!$D103))</f>
        <v/>
      </c>
      <c r="H103" s="6" t="str">
        <f>IF(COUNTIF(Mac.DE110.Inp!$C103:$L103,"")=10,"",IF(Mac.DE110.Inp!$E103="","NULL",Mac.DE110.Inp!$E103))</f>
        <v/>
      </c>
      <c r="I103" s="6" t="str">
        <f>IF(COUNTIF(Mac.DE110.Inp!$C103:$L103,"")=10,"",IF(Mac.DE110.Inp!$F103="","NULL",Mac.DE110.Inp!$F103))</f>
        <v/>
      </c>
      <c r="J103" s="6" t="str">
        <f>IF(COUNTIF(Mac.DE110.Inp!$C103:$L103,"")=10,"",IF(Mac.DE110.Inp!$G103="","NULL",""""&amp;Mac.DE110.Inp!$G103&amp;""""))</f>
        <v/>
      </c>
      <c r="K103" s="6" t="str">
        <f>IF(COUNTIF(Mac.DE110.Inp!$C103:$L103,"")=10,"",IF(Mac.DE110.Inp!$H103="","NULL",""""&amp;Mac.DE110.Inp!$H103&amp;""""))</f>
        <v/>
      </c>
      <c r="L103" s="6" t="str">
        <f>IF(COUNTIF(Mac.DE110.Inp!$C103:$L103,"")=10,"",IF(Mac.DE110.Inp!$I103="","NULL",""""&amp;Mac.DE110.Inp!$I103&amp;""""))</f>
        <v/>
      </c>
      <c r="M103" s="6" t="str">
        <f>IF(COUNTIF(Mac.DE110.Inp!$C103:$L103,"")=10,"",IF(Mac.DE110.Inp!$J103="","NULL",""""&amp;Mac.DE110.Inp!$J103&amp;""""))</f>
        <v/>
      </c>
      <c r="N103" s="6" t="str">
        <f>IF(COUNTIF(Mac.DE110.Inp!$C103:$L103,"")=10,"",IF(Mac.DE110.Inp!$K103="","NULL",Mac.DE110.Inp!$K103))</f>
        <v/>
      </c>
      <c r="O103" s="6" t="str">
        <f>IF(COUNTIF(Mac.DE110.Inp!$C103:$L103,"")=10,"",IF(Mac.DE110.Inp!$L103="","NULL",Mac.DE110.Inp!$L103))</f>
        <v/>
      </c>
      <c r="P103" s="7" t="str">
        <f>IF(COUNTIF(Mac.DE110.Inp!$C103:$L103,"")=10,"","("&amp;aconcat($C103:$O103,",")&amp;"),")</f>
        <v/>
      </c>
    </row>
    <row r="104" spans="1:16" x14ac:dyDescent="0.3">
      <c r="A104" s="1" t="s">
        <v>246</v>
      </c>
      <c r="B104" s="1">
        <f t="shared" si="1"/>
        <v>103</v>
      </c>
      <c r="C104" s="6" t="str">
        <f>IF(COUNTIF(Mac.DE110.Inp!$C104:$L104,"")=10,"","NULL")</f>
        <v/>
      </c>
      <c r="D104" s="6" t="str">
        <f>IF(COUNTIF(Mac.DE110.Inp!$C104:$L104,"")=10,"","NULL")</f>
        <v/>
      </c>
      <c r="E104" s="6" t="str">
        <f>IF(COUNTIF(Mac.DE110.Inp!$C104:$L104,"")=10,"",$B104)</f>
        <v/>
      </c>
      <c r="F104" s="6" t="str">
        <f>IF(COUNTIF(Mac.DE110.Inp!$C104:$L104,"")=10,"",IF(Mac.DE110.Inp!$C104="","NULL",Mac.DE110.Inp!$C104))</f>
        <v/>
      </c>
      <c r="G104" s="6" t="str">
        <f>IF(COUNTIF(Mac.DE110.Inp!$C104:$L104,"")=10,"",IF(Mac.DE110.Inp!$D104="","NULL",Mac.DE110.Inp!$D104))</f>
        <v/>
      </c>
      <c r="H104" s="6" t="str">
        <f>IF(COUNTIF(Mac.DE110.Inp!$C104:$L104,"")=10,"",IF(Mac.DE110.Inp!$E104="","NULL",Mac.DE110.Inp!$E104))</f>
        <v/>
      </c>
      <c r="I104" s="6" t="str">
        <f>IF(COUNTIF(Mac.DE110.Inp!$C104:$L104,"")=10,"",IF(Mac.DE110.Inp!$F104="","NULL",Mac.DE110.Inp!$F104))</f>
        <v/>
      </c>
      <c r="J104" s="6" t="str">
        <f>IF(COUNTIF(Mac.DE110.Inp!$C104:$L104,"")=10,"",IF(Mac.DE110.Inp!$G104="","NULL",""""&amp;Mac.DE110.Inp!$G104&amp;""""))</f>
        <v/>
      </c>
      <c r="K104" s="6" t="str">
        <f>IF(COUNTIF(Mac.DE110.Inp!$C104:$L104,"")=10,"",IF(Mac.DE110.Inp!$H104="","NULL",""""&amp;Mac.DE110.Inp!$H104&amp;""""))</f>
        <v/>
      </c>
      <c r="L104" s="6" t="str">
        <f>IF(COUNTIF(Mac.DE110.Inp!$C104:$L104,"")=10,"",IF(Mac.DE110.Inp!$I104="","NULL",""""&amp;Mac.DE110.Inp!$I104&amp;""""))</f>
        <v/>
      </c>
      <c r="M104" s="6" t="str">
        <f>IF(COUNTIF(Mac.DE110.Inp!$C104:$L104,"")=10,"",IF(Mac.DE110.Inp!$J104="","NULL",""""&amp;Mac.DE110.Inp!$J104&amp;""""))</f>
        <v/>
      </c>
      <c r="N104" s="6" t="str">
        <f>IF(COUNTIF(Mac.DE110.Inp!$C104:$L104,"")=10,"",IF(Mac.DE110.Inp!$K104="","NULL",Mac.DE110.Inp!$K104))</f>
        <v/>
      </c>
      <c r="O104" s="6" t="str">
        <f>IF(COUNTIF(Mac.DE110.Inp!$C104:$L104,"")=10,"",IF(Mac.DE110.Inp!$L104="","NULL",Mac.DE110.Inp!$L104))</f>
        <v/>
      </c>
      <c r="P104" s="7" t="str">
        <f>IF(COUNTIF(Mac.DE110.Inp!$C104:$L104,"")=10,"","("&amp;aconcat($C104:$O104,",")&amp;"),")</f>
        <v/>
      </c>
    </row>
    <row r="105" spans="1:16" x14ac:dyDescent="0.3">
      <c r="A105" s="1" t="s">
        <v>234</v>
      </c>
      <c r="B105" s="1">
        <f t="shared" si="1"/>
        <v>104</v>
      </c>
      <c r="C105" s="6" t="str">
        <f>IF(COUNTIF(Mac.DE110.Inp!$C105:$L105,"")=10,"","NULL")</f>
        <v>NULL</v>
      </c>
      <c r="D105" s="6" t="str">
        <f>IF(COUNTIF(Mac.DE110.Inp!$C105:$L105,"")=10,"","NULL")</f>
        <v>NULL</v>
      </c>
      <c r="E105" s="6">
        <f>IF(COUNTIF(Mac.DE110.Inp!$C105:$L105,"")=10,"",$B105)</f>
        <v>104</v>
      </c>
      <c r="F105" s="6">
        <f>IF(COUNTIF(Mac.DE110.Inp!$C105:$L105,"")=10,"",IF(Mac.DE110.Inp!$C105="","NULL",Mac.DE110.Inp!$C105))</f>
        <v>198</v>
      </c>
      <c r="G105" s="6">
        <f>IF(COUNTIF(Mac.DE110.Inp!$C105:$L105,"")=10,"",IF(Mac.DE110.Inp!$D105="","NULL",Mac.DE110.Inp!$D105))</f>
        <v>324</v>
      </c>
      <c r="H105" s="6">
        <f>IF(COUNTIF(Mac.DE110.Inp!$C105:$L105,"")=10,"",IF(Mac.DE110.Inp!$E105="","NULL",Mac.DE110.Inp!$E105))</f>
        <v>108</v>
      </c>
      <c r="I105" s="6">
        <f>IF(COUNTIF(Mac.DE110.Inp!$C105:$L105,"")=10,"",IF(Mac.DE110.Inp!$F105="","NULL",Mac.DE110.Inp!$F105))</f>
        <v>84</v>
      </c>
      <c r="J105" s="6" t="str">
        <f>IF(COUNTIF(Mac.DE110.Inp!$C105:$L105,"")=10,"",IF(Mac.DE110.Inp!$G105="","NULL",""""&amp;Mac.DE110.Inp!$G105&amp;""""))</f>
        <v>NULL</v>
      </c>
      <c r="K105" s="6" t="str">
        <f>IF(COUNTIF(Mac.DE110.Inp!$C105:$L105,"")=10,"",IF(Mac.DE110.Inp!$H105="","NULL",""""&amp;Mac.DE110.Inp!$H105&amp;""""))</f>
        <v>"LComm"</v>
      </c>
      <c r="L105" s="6" t="str">
        <f>IF(COUNTIF(Mac.DE110.Inp!$C105:$L105,"")=10,"",IF(Mac.DE110.Inp!$I105="","NULL",""""&amp;Mac.DE110.Inp!$I105&amp;""""))</f>
        <v>NULL</v>
      </c>
      <c r="M105" s="6" t="str">
        <f>IF(COUNTIF(Mac.DE110.Inp!$C105:$L105,"")=10,"",IF(Mac.DE110.Inp!$J105="","NULL",""""&amp;Mac.DE110.Inp!$J105&amp;""""))</f>
        <v>NULL</v>
      </c>
      <c r="N105" s="6">
        <f>IF(COUNTIF(Mac.DE110.Inp!$C105:$L105,"")=10,"",IF(Mac.DE110.Inp!$K105="","NULL",Mac.DE110.Inp!$K105))</f>
        <v>0</v>
      </c>
      <c r="O105" s="6">
        <f>IF(COUNTIF(Mac.DE110.Inp!$C105:$L105,"")=10,"",IF(Mac.DE110.Inp!$L105="","NULL",Mac.DE110.Inp!$L105))</f>
        <v>0</v>
      </c>
      <c r="P105" s="7" t="str">
        <f>IF(COUNTIF(Mac.DE110.Inp!$C105:$L105,"")=10,"","("&amp;aconcat($C105:$O105,",")&amp;"),")</f>
        <v>(NULL,NULL,104,198,324,108,84,NULL,"LComm",NULL,NULL,0,0),</v>
      </c>
    </row>
    <row r="106" spans="1:16" x14ac:dyDescent="0.3">
      <c r="A106" s="1" t="s">
        <v>235</v>
      </c>
      <c r="B106" s="1">
        <f t="shared" si="1"/>
        <v>105</v>
      </c>
      <c r="C106" s="6" t="str">
        <f>IF(COUNTIF(Mac.DE110.Inp!$C106:$L106,"")=10,"","NULL")</f>
        <v>NULL</v>
      </c>
      <c r="D106" s="6" t="str">
        <f>IF(COUNTIF(Mac.DE110.Inp!$C106:$L106,"")=10,"","NULL")</f>
        <v>NULL</v>
      </c>
      <c r="E106" s="6">
        <f>IF(COUNTIF(Mac.DE110.Inp!$C106:$L106,"")=10,"",$B106)</f>
        <v>105</v>
      </c>
      <c r="F106" s="6">
        <f>IF(COUNTIF(Mac.DE110.Inp!$C106:$L106,"")=10,"",IF(Mac.DE110.Inp!$C106="","NULL",Mac.DE110.Inp!$C106))</f>
        <v>738</v>
      </c>
      <c r="G106" s="6">
        <f>IF(COUNTIF(Mac.DE110.Inp!$C106:$L106,"")=10,"",IF(Mac.DE110.Inp!$D106="","NULL",Mac.DE110.Inp!$D106))</f>
        <v>324</v>
      </c>
      <c r="H106" s="6">
        <f>IF(COUNTIF(Mac.DE110.Inp!$C106:$L106,"")=10,"",IF(Mac.DE110.Inp!$E106="","NULL",Mac.DE110.Inp!$E106))</f>
        <v>108</v>
      </c>
      <c r="I106" s="6">
        <f>IF(COUNTIF(Mac.DE110.Inp!$C106:$L106,"")=10,"",IF(Mac.DE110.Inp!$F106="","NULL",Mac.DE110.Inp!$F106))</f>
        <v>84</v>
      </c>
      <c r="J106" s="6" t="str">
        <f>IF(COUNTIF(Mac.DE110.Inp!$C106:$L106,"")=10,"",IF(Mac.DE110.Inp!$G106="","NULL",""""&amp;Mac.DE110.Inp!$G106&amp;""""))</f>
        <v>NULL</v>
      </c>
      <c r="K106" s="6" t="str">
        <f>IF(COUNTIF(Mac.DE110.Inp!$C106:$L106,"")=10,"",IF(Mac.DE110.Inp!$H106="","NULL",""""&amp;Mac.DE110.Inp!$H106&amp;""""))</f>
        <v>"RComm"</v>
      </c>
      <c r="L106" s="6" t="str">
        <f>IF(COUNTIF(Mac.DE110.Inp!$C106:$L106,"")=10,"",IF(Mac.DE110.Inp!$I106="","NULL",""""&amp;Mac.DE110.Inp!$I106&amp;""""))</f>
        <v>NULL</v>
      </c>
      <c r="M106" s="6" t="str">
        <f>IF(COUNTIF(Mac.DE110.Inp!$C106:$L106,"")=10,"",IF(Mac.DE110.Inp!$J106="","NULL",""""&amp;Mac.DE110.Inp!$J106&amp;""""))</f>
        <v>NULL</v>
      </c>
      <c r="N106" s="6">
        <f>IF(COUNTIF(Mac.DE110.Inp!$C106:$L106,"")=10,"",IF(Mac.DE110.Inp!$K106="","NULL",Mac.DE110.Inp!$K106))</f>
        <v>0</v>
      </c>
      <c r="O106" s="6">
        <f>IF(COUNTIF(Mac.DE110.Inp!$C106:$L106,"")=10,"",IF(Mac.DE110.Inp!$L106="","NULL",Mac.DE110.Inp!$L106))</f>
        <v>0</v>
      </c>
      <c r="P106" s="7" t="str">
        <f>IF(COUNTIF(Mac.DE110.Inp!$C106:$L106,"")=10,"","("&amp;aconcat($C106:$O106,",")&amp;"),")</f>
        <v>(NULL,NULL,105,738,324,108,84,NULL,"RComm",NULL,NULL,0,0),</v>
      </c>
    </row>
    <row r="107" spans="1:16" x14ac:dyDescent="0.3">
      <c r="A107" s="1" t="s">
        <v>246</v>
      </c>
      <c r="B107" s="1">
        <f t="shared" si="1"/>
        <v>106</v>
      </c>
      <c r="C107" s="6" t="str">
        <f>IF(COUNTIF(Mac.DE110.Inp!$C107:$L107,"")=10,"","NULL")</f>
        <v/>
      </c>
      <c r="D107" s="6" t="str">
        <f>IF(COUNTIF(Mac.DE110.Inp!$C107:$L107,"")=10,"","NULL")</f>
        <v/>
      </c>
      <c r="E107" s="6" t="str">
        <f>IF(COUNTIF(Mac.DE110.Inp!$C107:$L107,"")=10,"",$B107)</f>
        <v/>
      </c>
      <c r="F107" s="6" t="str">
        <f>IF(COUNTIF(Mac.DE110.Inp!$C107:$L107,"")=10,"",IF(Mac.DE110.Inp!$C107="","NULL",Mac.DE110.Inp!$C107))</f>
        <v/>
      </c>
      <c r="G107" s="6" t="str">
        <f>IF(COUNTIF(Mac.DE110.Inp!$C107:$L107,"")=10,"",IF(Mac.DE110.Inp!$D107="","NULL",Mac.DE110.Inp!$D107))</f>
        <v/>
      </c>
      <c r="H107" s="6" t="str">
        <f>IF(COUNTIF(Mac.DE110.Inp!$C107:$L107,"")=10,"",IF(Mac.DE110.Inp!$E107="","NULL",Mac.DE110.Inp!$E107))</f>
        <v/>
      </c>
      <c r="I107" s="6" t="str">
        <f>IF(COUNTIF(Mac.DE110.Inp!$C107:$L107,"")=10,"",IF(Mac.DE110.Inp!$F107="","NULL",Mac.DE110.Inp!$F107))</f>
        <v/>
      </c>
      <c r="J107" s="6" t="str">
        <f>IF(COUNTIF(Mac.DE110.Inp!$C107:$L107,"")=10,"",IF(Mac.DE110.Inp!$G107="","NULL",""""&amp;Mac.DE110.Inp!$G107&amp;""""))</f>
        <v/>
      </c>
      <c r="K107" s="6" t="str">
        <f>IF(COUNTIF(Mac.DE110.Inp!$C107:$L107,"")=10,"",IF(Mac.DE110.Inp!$H107="","NULL",""""&amp;Mac.DE110.Inp!$H107&amp;""""))</f>
        <v/>
      </c>
      <c r="L107" s="6" t="str">
        <f>IF(COUNTIF(Mac.DE110.Inp!$C107:$L107,"")=10,"",IF(Mac.DE110.Inp!$I107="","NULL",""""&amp;Mac.DE110.Inp!$I107&amp;""""))</f>
        <v/>
      </c>
      <c r="M107" s="6" t="str">
        <f>IF(COUNTIF(Mac.DE110.Inp!$C107:$L107,"")=10,"",IF(Mac.DE110.Inp!$J107="","NULL",""""&amp;Mac.DE110.Inp!$J107&amp;""""))</f>
        <v/>
      </c>
      <c r="N107" s="6" t="str">
        <f>IF(COUNTIF(Mac.DE110.Inp!$C107:$L107,"")=10,"",IF(Mac.DE110.Inp!$K107="","NULL",Mac.DE110.Inp!$K107))</f>
        <v/>
      </c>
      <c r="O107" s="6" t="str">
        <f>IF(COUNTIF(Mac.DE110.Inp!$C107:$L107,"")=10,"",IF(Mac.DE110.Inp!$L107="","NULL",Mac.DE110.Inp!$L107))</f>
        <v/>
      </c>
      <c r="P107" s="7" t="str">
        <f>IF(COUNTIF(Mac.DE110.Inp!$C107:$L107,"")=10,"","("&amp;aconcat($C107:$O107,",")&amp;"),")</f>
        <v/>
      </c>
    </row>
    <row r="108" spans="1:16" x14ac:dyDescent="0.3">
      <c r="A108" s="1" t="s">
        <v>236</v>
      </c>
      <c r="B108" s="1">
        <f t="shared" si="1"/>
        <v>107</v>
      </c>
      <c r="C108" s="6" t="str">
        <f>IF(COUNTIF(Mac.DE110.Inp!$C108:$L108,"")=10,"","NULL")</f>
        <v>NULL</v>
      </c>
      <c r="D108" s="6" t="str">
        <f>IF(COUNTIF(Mac.DE110.Inp!$C108:$L108,"")=10,"","NULL")</f>
        <v>NULL</v>
      </c>
      <c r="E108" s="6">
        <f>IF(COUNTIF(Mac.DE110.Inp!$C108:$L108,"")=10,"",$B108)</f>
        <v>107</v>
      </c>
      <c r="F108" s="6">
        <f>IF(COUNTIF(Mac.DE110.Inp!$C108:$L108,"")=10,"",IF(Mac.DE110.Inp!$C108="","NULL",Mac.DE110.Inp!$C108))</f>
        <v>1072</v>
      </c>
      <c r="G108" s="6">
        <f>IF(COUNTIF(Mac.DE110.Inp!$C108:$L108,"")=10,"",IF(Mac.DE110.Inp!$D108="","NULL",Mac.DE110.Inp!$D108))</f>
        <v>0</v>
      </c>
      <c r="H108" s="6">
        <f>IF(COUNTIF(Mac.DE110.Inp!$C108:$L108,"")=10,"",IF(Mac.DE110.Inp!$E108="","NULL",Mac.DE110.Inp!$E108))</f>
        <v>72</v>
      </c>
      <c r="I108" s="6">
        <f>IF(COUNTIF(Mac.DE110.Inp!$C108:$L108,"")=10,"",IF(Mac.DE110.Inp!$F108="","NULL",Mac.DE110.Inp!$F108))</f>
        <v>48</v>
      </c>
      <c r="J108" s="6" t="str">
        <f>IF(COUNTIF(Mac.DE110.Inp!$C108:$L108,"")=10,"",IF(Mac.DE110.Inp!$G108="","NULL",""""&amp;Mac.DE110.Inp!$G108&amp;""""))</f>
        <v>NULL</v>
      </c>
      <c r="K108" s="6" t="str">
        <f>IF(COUNTIF(Mac.DE110.Inp!$C108:$L108,"")=10,"",IF(Mac.DE110.Inp!$H108="","NULL",""""&amp;Mac.DE110.Inp!$H108&amp;""""))</f>
        <v>"F13"</v>
      </c>
      <c r="L108" s="6" t="str">
        <f>IF(COUNTIF(Mac.DE110.Inp!$C108:$L108,"")=10,"",IF(Mac.DE110.Inp!$I108="","NULL",""""&amp;Mac.DE110.Inp!$I108&amp;""""))</f>
        <v>NULL</v>
      </c>
      <c r="M108" s="6" t="str">
        <f>IF(COUNTIF(Mac.DE110.Inp!$C108:$L108,"")=10,"",IF(Mac.DE110.Inp!$J108="","NULL",""""&amp;Mac.DE110.Inp!$J108&amp;""""))</f>
        <v>NULL</v>
      </c>
      <c r="N108" s="6">
        <f>IF(COUNTIF(Mac.DE110.Inp!$C108:$L108,"")=10,"",IF(Mac.DE110.Inp!$K108="","NULL",Mac.DE110.Inp!$K108))</f>
        <v>0</v>
      </c>
      <c r="O108" s="6">
        <f>IF(COUNTIF(Mac.DE110.Inp!$C108:$L108,"")=10,"",IF(Mac.DE110.Inp!$L108="","NULL",Mac.DE110.Inp!$L108))</f>
        <v>0</v>
      </c>
      <c r="P108" s="7" t="str">
        <f>IF(COUNTIF(Mac.DE110.Inp!$C108:$L108,"")=10,"","("&amp;aconcat($C108:$O108,",")&amp;"),")</f>
        <v>(NULL,NULL,107,1072,0,72,48,NULL,"F13",NULL,NULL,0,0),</v>
      </c>
    </row>
    <row r="109" spans="1:16" x14ac:dyDescent="0.3">
      <c r="A109" s="1" t="s">
        <v>237</v>
      </c>
      <c r="B109" s="1">
        <f t="shared" si="1"/>
        <v>108</v>
      </c>
      <c r="C109" s="6" t="str">
        <f>IF(COUNTIF(Mac.DE110.Inp!$C109:$L109,"")=10,"","NULL")</f>
        <v>NULL</v>
      </c>
      <c r="D109" s="6" t="str">
        <f>IF(COUNTIF(Mac.DE110.Inp!$C109:$L109,"")=10,"","NULL")</f>
        <v>NULL</v>
      </c>
      <c r="E109" s="6">
        <f>IF(COUNTIF(Mac.DE110.Inp!$C109:$L109,"")=10,"",$B109)</f>
        <v>108</v>
      </c>
      <c r="F109" s="6">
        <f>IF(COUNTIF(Mac.DE110.Inp!$C109:$L109,"")=10,"",IF(Mac.DE110.Inp!$C109="","NULL",Mac.DE110.Inp!$C109))</f>
        <v>1144</v>
      </c>
      <c r="G109" s="6">
        <f>IF(COUNTIF(Mac.DE110.Inp!$C109:$L109,"")=10,"",IF(Mac.DE110.Inp!$D109="","NULL",Mac.DE110.Inp!$D109))</f>
        <v>0</v>
      </c>
      <c r="H109" s="6">
        <f>IF(COUNTIF(Mac.DE110.Inp!$C109:$L109,"")=10,"",IF(Mac.DE110.Inp!$E109="","NULL",Mac.DE110.Inp!$E109))</f>
        <v>72</v>
      </c>
      <c r="I109" s="6">
        <f>IF(COUNTIF(Mac.DE110.Inp!$C109:$L109,"")=10,"",IF(Mac.DE110.Inp!$F109="","NULL",Mac.DE110.Inp!$F109))</f>
        <v>48</v>
      </c>
      <c r="J109" s="6" t="str">
        <f>IF(COUNTIF(Mac.DE110.Inp!$C109:$L109,"")=10,"",IF(Mac.DE110.Inp!$G109="","NULL",""""&amp;Mac.DE110.Inp!$G109&amp;""""))</f>
        <v>NULL</v>
      </c>
      <c r="K109" s="6" t="str">
        <f>IF(COUNTIF(Mac.DE110.Inp!$C109:$L109,"")=10,"",IF(Mac.DE110.Inp!$H109="","NULL",""""&amp;Mac.DE110.Inp!$H109&amp;""""))</f>
        <v>"F14"</v>
      </c>
      <c r="L109" s="6" t="str">
        <f>IF(COUNTIF(Mac.DE110.Inp!$C109:$L109,"")=10,"",IF(Mac.DE110.Inp!$I109="","NULL",""""&amp;Mac.DE110.Inp!$I109&amp;""""))</f>
        <v>NULL</v>
      </c>
      <c r="M109" s="6" t="str">
        <f>IF(COUNTIF(Mac.DE110.Inp!$C109:$L109,"")=10,"",IF(Mac.DE110.Inp!$J109="","NULL",""""&amp;Mac.DE110.Inp!$J109&amp;""""))</f>
        <v>NULL</v>
      </c>
      <c r="N109" s="6">
        <f>IF(COUNTIF(Mac.DE110.Inp!$C109:$L109,"")=10,"",IF(Mac.DE110.Inp!$K109="","NULL",Mac.DE110.Inp!$K109))</f>
        <v>0</v>
      </c>
      <c r="O109" s="6">
        <f>IF(COUNTIF(Mac.DE110.Inp!$C109:$L109,"")=10,"",IF(Mac.DE110.Inp!$L109="","NULL",Mac.DE110.Inp!$L109))</f>
        <v>0</v>
      </c>
      <c r="P109" s="7" t="str">
        <f>IF(COUNTIF(Mac.DE110.Inp!$C109:$L109,"")=10,"","("&amp;aconcat($C109:$O109,",")&amp;"),")</f>
        <v>(NULL,NULL,108,1144,0,72,48,NULL,"F14",NULL,NULL,0,0),</v>
      </c>
    </row>
    <row r="110" spans="1:16" x14ac:dyDescent="0.3">
      <c r="A110" s="1" t="s">
        <v>238</v>
      </c>
      <c r="B110" s="1">
        <f t="shared" si="1"/>
        <v>109</v>
      </c>
      <c r="C110" s="6" t="str">
        <f>IF(COUNTIF(Mac.DE110.Inp!$C110:$L110,"")=10,"","NULL")</f>
        <v>NULL</v>
      </c>
      <c r="D110" s="6" t="str">
        <f>IF(COUNTIF(Mac.DE110.Inp!$C110:$L110,"")=10,"","NULL")</f>
        <v>NULL</v>
      </c>
      <c r="E110" s="6">
        <f>IF(COUNTIF(Mac.DE110.Inp!$C110:$L110,"")=10,"",$B110)</f>
        <v>109</v>
      </c>
      <c r="F110" s="6">
        <f>IF(COUNTIF(Mac.DE110.Inp!$C110:$L110,"")=10,"",IF(Mac.DE110.Inp!$C110="","NULL",Mac.DE110.Inp!$C110))</f>
        <v>1216</v>
      </c>
      <c r="G110" s="6">
        <f>IF(COUNTIF(Mac.DE110.Inp!$C110:$L110,"")=10,"",IF(Mac.DE110.Inp!$D110="","NULL",Mac.DE110.Inp!$D110))</f>
        <v>0</v>
      </c>
      <c r="H110" s="6">
        <f>IF(COUNTIF(Mac.DE110.Inp!$C110:$L110,"")=10,"",IF(Mac.DE110.Inp!$E110="","NULL",Mac.DE110.Inp!$E110))</f>
        <v>72</v>
      </c>
      <c r="I110" s="6">
        <f>IF(COUNTIF(Mac.DE110.Inp!$C110:$L110,"")=10,"",IF(Mac.DE110.Inp!$F110="","NULL",Mac.DE110.Inp!$F110))</f>
        <v>48</v>
      </c>
      <c r="J110" s="6" t="str">
        <f>IF(COUNTIF(Mac.DE110.Inp!$C110:$L110,"")=10,"",IF(Mac.DE110.Inp!$G110="","NULL",""""&amp;Mac.DE110.Inp!$G110&amp;""""))</f>
        <v>NULL</v>
      </c>
      <c r="K110" s="6" t="str">
        <f>IF(COUNTIF(Mac.DE110.Inp!$C110:$L110,"")=10,"",IF(Mac.DE110.Inp!$H110="","NULL",""""&amp;Mac.DE110.Inp!$H110&amp;""""))</f>
        <v>"F15"</v>
      </c>
      <c r="L110" s="6" t="str">
        <f>IF(COUNTIF(Mac.DE110.Inp!$C110:$L110,"")=10,"",IF(Mac.DE110.Inp!$I110="","NULL",""""&amp;Mac.DE110.Inp!$I110&amp;""""))</f>
        <v>NULL</v>
      </c>
      <c r="M110" s="6" t="str">
        <f>IF(COUNTIF(Mac.DE110.Inp!$C110:$L110,"")=10,"",IF(Mac.DE110.Inp!$J110="","NULL",""""&amp;Mac.DE110.Inp!$J110&amp;""""))</f>
        <v>NULL</v>
      </c>
      <c r="N110" s="6">
        <f>IF(COUNTIF(Mac.DE110.Inp!$C110:$L110,"")=10,"",IF(Mac.DE110.Inp!$K110="","NULL",Mac.DE110.Inp!$K110))</f>
        <v>0</v>
      </c>
      <c r="O110" s="6">
        <f>IF(COUNTIF(Mac.DE110.Inp!$C110:$L110,"")=10,"",IF(Mac.DE110.Inp!$L110="","NULL",Mac.DE110.Inp!$L110))</f>
        <v>0</v>
      </c>
      <c r="P110" s="7" t="str">
        <f>IF(COUNTIF(Mac.DE110.Inp!$C110:$L110,"")=10,"","("&amp;aconcat($C110:$O110,",")&amp;"),")</f>
        <v>(NULL,NULL,109,1216,0,72,48,NULL,"F15",NULL,NULL,0,0),</v>
      </c>
    </row>
    <row r="111" spans="1:16" x14ac:dyDescent="0.3">
      <c r="A111" s="1" t="s">
        <v>239</v>
      </c>
      <c r="B111" s="1">
        <f t="shared" si="1"/>
        <v>110</v>
      </c>
      <c r="C111" s="6" t="str">
        <f>IF(COUNTIF(Mac.DE110.Inp!$C111:$L111,"")=10,"","NULL")</f>
        <v>NULL</v>
      </c>
      <c r="D111" s="6" t="str">
        <f>IF(COUNTIF(Mac.DE110.Inp!$C111:$L111,"")=10,"","NULL")</f>
        <v>NULL</v>
      </c>
      <c r="E111" s="6">
        <f>IF(COUNTIF(Mac.DE110.Inp!$C111:$L111,"")=10,"",$B111)</f>
        <v>110</v>
      </c>
      <c r="F111" s="6">
        <f>IF(COUNTIF(Mac.DE110.Inp!$C111:$L111,"")=10,"",IF(Mac.DE110.Inp!$C111="","NULL",Mac.DE110.Inp!$C111))</f>
        <v>1316</v>
      </c>
      <c r="G111" s="6">
        <f>IF(COUNTIF(Mac.DE110.Inp!$C111:$L111,"")=10,"",IF(Mac.DE110.Inp!$D111="","NULL",Mac.DE110.Inp!$D111))</f>
        <v>0</v>
      </c>
      <c r="H111" s="6">
        <f>IF(COUNTIF(Mac.DE110.Inp!$C111:$L111,"")=10,"",IF(Mac.DE110.Inp!$E111="","NULL",Mac.DE110.Inp!$E111))</f>
        <v>72</v>
      </c>
      <c r="I111" s="6">
        <f>IF(COUNTIF(Mac.DE110.Inp!$C111:$L111,"")=10,"",IF(Mac.DE110.Inp!$F111="","NULL",Mac.DE110.Inp!$F111))</f>
        <v>48</v>
      </c>
      <c r="J111" s="6" t="str">
        <f>IF(COUNTIF(Mac.DE110.Inp!$C111:$L111,"")=10,"",IF(Mac.DE110.Inp!$G111="","NULL",""""&amp;Mac.DE110.Inp!$G111&amp;""""))</f>
        <v>NULL</v>
      </c>
      <c r="K111" s="6" t="str">
        <f>IF(COUNTIF(Mac.DE110.Inp!$C111:$L111,"")=10,"",IF(Mac.DE110.Inp!$H111="","NULL",""""&amp;Mac.DE110.Inp!$H111&amp;""""))</f>
        <v>"F16"</v>
      </c>
      <c r="L111" s="6" t="str">
        <f>IF(COUNTIF(Mac.DE110.Inp!$C111:$L111,"")=10,"",IF(Mac.DE110.Inp!$I111="","NULL",""""&amp;Mac.DE110.Inp!$I111&amp;""""))</f>
        <v>NULL</v>
      </c>
      <c r="M111" s="6" t="str">
        <f>IF(COUNTIF(Mac.DE110.Inp!$C111:$L111,"")=10,"",IF(Mac.DE110.Inp!$J111="","NULL",""""&amp;Mac.DE110.Inp!$J111&amp;""""))</f>
        <v>NULL</v>
      </c>
      <c r="N111" s="6">
        <f>IF(COUNTIF(Mac.DE110.Inp!$C111:$L111,"")=10,"",IF(Mac.DE110.Inp!$K111="","NULL",Mac.DE110.Inp!$K111))</f>
        <v>0</v>
      </c>
      <c r="O111" s="6">
        <f>IF(COUNTIF(Mac.DE110.Inp!$C111:$L111,"")=10,"",IF(Mac.DE110.Inp!$L111="","NULL",Mac.DE110.Inp!$L111))</f>
        <v>1</v>
      </c>
      <c r="P111" s="7" t="str">
        <f>IF(COUNTIF(Mac.DE110.Inp!$C111:$L111,"")=10,"","("&amp;aconcat($C111:$O111,",")&amp;"),")</f>
        <v>(NULL,NULL,110,1316,0,72,48,NULL,"F16",NULL,NULL,0,1),</v>
      </c>
    </row>
    <row r="112" spans="1:16" x14ac:dyDescent="0.3">
      <c r="A112" s="1" t="s">
        <v>240</v>
      </c>
      <c r="B112" s="1">
        <f t="shared" si="1"/>
        <v>111</v>
      </c>
      <c r="C112" s="6" t="str">
        <f>IF(COUNTIF(Mac.DE110.Inp!$C112:$L112,"")=10,"","NULL")</f>
        <v>NULL</v>
      </c>
      <c r="D112" s="6" t="str">
        <f>IF(COUNTIF(Mac.DE110.Inp!$C112:$L112,"")=10,"","NULL")</f>
        <v>NULL</v>
      </c>
      <c r="E112" s="6">
        <f>IF(COUNTIF(Mac.DE110.Inp!$C112:$L112,"")=10,"",$B112)</f>
        <v>111</v>
      </c>
      <c r="F112" s="6">
        <f>IF(COUNTIF(Mac.DE110.Inp!$C112:$L112,"")=10,"",IF(Mac.DE110.Inp!$C112="","NULL",Mac.DE110.Inp!$C112))</f>
        <v>1388</v>
      </c>
      <c r="G112" s="6">
        <f>IF(COUNTIF(Mac.DE110.Inp!$C112:$L112,"")=10,"",IF(Mac.DE110.Inp!$D112="","NULL",Mac.DE110.Inp!$D112))</f>
        <v>0</v>
      </c>
      <c r="H112" s="6">
        <f>IF(COUNTIF(Mac.DE110.Inp!$C112:$L112,"")=10,"",IF(Mac.DE110.Inp!$E112="","NULL",Mac.DE110.Inp!$E112))</f>
        <v>72</v>
      </c>
      <c r="I112" s="6">
        <f>IF(COUNTIF(Mac.DE110.Inp!$C112:$L112,"")=10,"",IF(Mac.DE110.Inp!$F112="","NULL",Mac.DE110.Inp!$F112))</f>
        <v>48</v>
      </c>
      <c r="J112" s="6" t="str">
        <f>IF(COUNTIF(Mac.DE110.Inp!$C112:$L112,"")=10,"",IF(Mac.DE110.Inp!$G112="","NULL",""""&amp;Mac.DE110.Inp!$G112&amp;""""))</f>
        <v>NULL</v>
      </c>
      <c r="K112" s="6" t="str">
        <f>IF(COUNTIF(Mac.DE110.Inp!$C112:$L112,"")=10,"",IF(Mac.DE110.Inp!$H112="","NULL",""""&amp;Mac.DE110.Inp!$H112&amp;""""))</f>
        <v>"F17"</v>
      </c>
      <c r="L112" s="6" t="str">
        <f>IF(COUNTIF(Mac.DE110.Inp!$C112:$L112,"")=10,"",IF(Mac.DE110.Inp!$I112="","NULL",""""&amp;Mac.DE110.Inp!$I112&amp;""""))</f>
        <v>NULL</v>
      </c>
      <c r="M112" s="6" t="str">
        <f>IF(COUNTIF(Mac.DE110.Inp!$C112:$L112,"")=10,"",IF(Mac.DE110.Inp!$J112="","NULL",""""&amp;Mac.DE110.Inp!$J112&amp;""""))</f>
        <v>NULL</v>
      </c>
      <c r="N112" s="6">
        <f>IF(COUNTIF(Mac.DE110.Inp!$C112:$L112,"")=10,"",IF(Mac.DE110.Inp!$K112="","NULL",Mac.DE110.Inp!$K112))</f>
        <v>0</v>
      </c>
      <c r="O112" s="6">
        <f>IF(COUNTIF(Mac.DE110.Inp!$C112:$L112,"")=10,"",IF(Mac.DE110.Inp!$L112="","NULL",Mac.DE110.Inp!$L112))</f>
        <v>1</v>
      </c>
      <c r="P112" s="7" t="str">
        <f>IF(COUNTIF(Mac.DE110.Inp!$C112:$L112,"")=10,"","("&amp;aconcat($C112:$O112,",")&amp;"),")</f>
        <v>(NULL,NULL,111,1388,0,72,48,NULL,"F17",NULL,NULL,0,1),</v>
      </c>
    </row>
    <row r="113" spans="1:16" x14ac:dyDescent="0.3">
      <c r="A113" s="1" t="s">
        <v>241</v>
      </c>
      <c r="B113" s="1">
        <f t="shared" si="1"/>
        <v>112</v>
      </c>
      <c r="C113" s="6" t="str">
        <f>IF(COUNTIF(Mac.DE110.Inp!$C113:$L113,"")=10,"","NULL")</f>
        <v>NULL</v>
      </c>
      <c r="D113" s="6" t="str">
        <f>IF(COUNTIF(Mac.DE110.Inp!$C113:$L113,"")=10,"","NULL")</f>
        <v>NULL</v>
      </c>
      <c r="E113" s="6">
        <f>IF(COUNTIF(Mac.DE110.Inp!$C113:$L113,"")=10,"",$B113)</f>
        <v>112</v>
      </c>
      <c r="F113" s="6">
        <f>IF(COUNTIF(Mac.DE110.Inp!$C113:$L113,"")=10,"",IF(Mac.DE110.Inp!$C113="","NULL",Mac.DE110.Inp!$C113))</f>
        <v>1460</v>
      </c>
      <c r="G113" s="6">
        <f>IF(COUNTIF(Mac.DE110.Inp!$C113:$L113,"")=10,"",IF(Mac.DE110.Inp!$D113="","NULL",Mac.DE110.Inp!$D113))</f>
        <v>0</v>
      </c>
      <c r="H113" s="6">
        <f>IF(COUNTIF(Mac.DE110.Inp!$C113:$L113,"")=10,"",IF(Mac.DE110.Inp!$E113="","NULL",Mac.DE110.Inp!$E113))</f>
        <v>72</v>
      </c>
      <c r="I113" s="6">
        <f>IF(COUNTIF(Mac.DE110.Inp!$C113:$L113,"")=10,"",IF(Mac.DE110.Inp!$F113="","NULL",Mac.DE110.Inp!$F113))</f>
        <v>48</v>
      </c>
      <c r="J113" s="6" t="str">
        <f>IF(COUNTIF(Mac.DE110.Inp!$C113:$L113,"")=10,"",IF(Mac.DE110.Inp!$G113="","NULL",""""&amp;Mac.DE110.Inp!$G113&amp;""""))</f>
        <v>NULL</v>
      </c>
      <c r="K113" s="6" t="str">
        <f>IF(COUNTIF(Mac.DE110.Inp!$C113:$L113,"")=10,"",IF(Mac.DE110.Inp!$H113="","NULL",""""&amp;Mac.DE110.Inp!$H113&amp;""""))</f>
        <v>"F18"</v>
      </c>
      <c r="L113" s="6" t="str">
        <f>IF(COUNTIF(Mac.DE110.Inp!$C113:$L113,"")=10,"",IF(Mac.DE110.Inp!$I113="","NULL",""""&amp;Mac.DE110.Inp!$I113&amp;""""))</f>
        <v>NULL</v>
      </c>
      <c r="M113" s="6" t="str">
        <f>IF(COUNTIF(Mac.DE110.Inp!$C113:$L113,"")=10,"",IF(Mac.DE110.Inp!$J113="","NULL",""""&amp;Mac.DE110.Inp!$J113&amp;""""))</f>
        <v>NULL</v>
      </c>
      <c r="N113" s="6">
        <f>IF(COUNTIF(Mac.DE110.Inp!$C113:$L113,"")=10,"",IF(Mac.DE110.Inp!$K113="","NULL",Mac.DE110.Inp!$K113))</f>
        <v>0</v>
      </c>
      <c r="O113" s="6">
        <f>IF(COUNTIF(Mac.DE110.Inp!$C113:$L113,"")=10,"",IF(Mac.DE110.Inp!$L113="","NULL",Mac.DE110.Inp!$L113))</f>
        <v>1</v>
      </c>
      <c r="P113" s="7" t="str">
        <f>IF(COUNTIF(Mac.DE110.Inp!$C113:$L113,"")=10,"","("&amp;aconcat($C113:$O113,",")&amp;"),")</f>
        <v>(NULL,NULL,112,1460,0,72,48,NULL,"F18",NULL,NULL,0,1),</v>
      </c>
    </row>
    <row r="114" spans="1:16" x14ac:dyDescent="0.3">
      <c r="A114" s="1" t="s">
        <v>242</v>
      </c>
      <c r="B114" s="1">
        <f t="shared" si="1"/>
        <v>113</v>
      </c>
      <c r="C114" s="6" t="str">
        <f>IF(COUNTIF(Mac.DE110.Inp!$C114:$L114,"")=10,"","NULL")</f>
        <v>NULL</v>
      </c>
      <c r="D114" s="6" t="str">
        <f>IF(COUNTIF(Mac.DE110.Inp!$C114:$L114,"")=10,"","NULL")</f>
        <v>NULL</v>
      </c>
      <c r="E114" s="6">
        <f>IF(COUNTIF(Mac.DE110.Inp!$C114:$L114,"")=10,"",$B114)</f>
        <v>113</v>
      </c>
      <c r="F114" s="6">
        <f>IF(COUNTIF(Mac.DE110.Inp!$C114:$L114,"")=10,"",IF(Mac.DE110.Inp!$C114="","NULL",Mac.DE110.Inp!$C114))</f>
        <v>1532</v>
      </c>
      <c r="G114" s="6">
        <f>IF(COUNTIF(Mac.DE110.Inp!$C114:$L114,"")=10,"",IF(Mac.DE110.Inp!$D114="","NULL",Mac.DE110.Inp!$D114))</f>
        <v>0</v>
      </c>
      <c r="H114" s="6">
        <f>IF(COUNTIF(Mac.DE110.Inp!$C114:$L114,"")=10,"",IF(Mac.DE110.Inp!$E114="","NULL",Mac.DE110.Inp!$E114))</f>
        <v>72</v>
      </c>
      <c r="I114" s="6">
        <f>IF(COUNTIF(Mac.DE110.Inp!$C114:$L114,"")=10,"",IF(Mac.DE110.Inp!$F114="","NULL",Mac.DE110.Inp!$F114))</f>
        <v>48</v>
      </c>
      <c r="J114" s="6" t="str">
        <f>IF(COUNTIF(Mac.DE110.Inp!$C114:$L114,"")=10,"",IF(Mac.DE110.Inp!$G114="","NULL",""""&amp;Mac.DE110.Inp!$G114&amp;""""))</f>
        <v>NULL</v>
      </c>
      <c r="K114" s="6" t="str">
        <f>IF(COUNTIF(Mac.DE110.Inp!$C114:$L114,"")=10,"",IF(Mac.DE110.Inp!$H114="","NULL",""""&amp;Mac.DE110.Inp!$H114&amp;""""))</f>
        <v>"F19"</v>
      </c>
      <c r="L114" s="6" t="str">
        <f>IF(COUNTIF(Mac.DE110.Inp!$C114:$L114,"")=10,"",IF(Mac.DE110.Inp!$I114="","NULL",""""&amp;Mac.DE110.Inp!$I114&amp;""""))</f>
        <v>NULL</v>
      </c>
      <c r="M114" s="6" t="str">
        <f>IF(COUNTIF(Mac.DE110.Inp!$C114:$L114,"")=10,"",IF(Mac.DE110.Inp!$J114="","NULL",""""&amp;Mac.DE110.Inp!$J114&amp;""""))</f>
        <v>NULL</v>
      </c>
      <c r="N114" s="6">
        <f>IF(COUNTIF(Mac.DE110.Inp!$C114:$L114,"")=10,"",IF(Mac.DE110.Inp!$K114="","NULL",Mac.DE110.Inp!$K114))</f>
        <v>0</v>
      </c>
      <c r="O114" s="6">
        <f>IF(COUNTIF(Mac.DE110.Inp!$C114:$L114,"")=10,"",IF(Mac.DE110.Inp!$L114="","NULL",Mac.DE110.Inp!$L114))</f>
        <v>1</v>
      </c>
      <c r="P114" s="7" t="str">
        <f>IF(COUNTIF(Mac.DE110.Inp!$C114:$L114,"")=10,"","("&amp;aconcat($C114:$O114,",")&amp;"),")</f>
        <v>(NULL,NULL,113,1532,0,72,48,NULL,"F19",NULL,NULL,0,1),</v>
      </c>
    </row>
    <row r="115" spans="1:16" x14ac:dyDescent="0.3">
      <c r="A115" s="1" t="s">
        <v>29</v>
      </c>
      <c r="B115" s="1">
        <f t="shared" si="1"/>
        <v>114</v>
      </c>
      <c r="C115" s="6" t="str">
        <f>IF(COUNTIF(Mac.DE110.Inp!$C115:$L115,"")=10,"","NULL")</f>
        <v>NULL</v>
      </c>
      <c r="D115" s="6" t="str">
        <f>IF(COUNTIF(Mac.DE110.Inp!$C115:$L115,"")=10,"","NULL")</f>
        <v>NULL</v>
      </c>
      <c r="E115" s="6">
        <f>IF(COUNTIF(Mac.DE110.Inp!$C115:$L115,"")=10,"",$B115)</f>
        <v>114</v>
      </c>
      <c r="F115" s="6">
        <f>IF(COUNTIF(Mac.DE110.Inp!$C115:$L115,"")=10,"",IF(Mac.DE110.Inp!$C115="","NULL",Mac.DE110.Inp!$C115))</f>
        <v>1388</v>
      </c>
      <c r="G115" s="6">
        <f>IF(COUNTIF(Mac.DE110.Inp!$C115:$L115,"")=10,"",IF(Mac.DE110.Inp!$D115="","NULL",Mac.DE110.Inp!$D115))</f>
        <v>48</v>
      </c>
      <c r="H115" s="6">
        <f>IF(COUNTIF(Mac.DE110.Inp!$C115:$L115,"")=10,"",IF(Mac.DE110.Inp!$E115="","NULL",Mac.DE110.Inp!$E115))</f>
        <v>72</v>
      </c>
      <c r="I115" s="6">
        <f>IF(COUNTIF(Mac.DE110.Inp!$C115:$L115,"")=10,"",IF(Mac.DE110.Inp!$F115="","NULL",Mac.DE110.Inp!$F115))</f>
        <v>69</v>
      </c>
      <c r="J115" s="6" t="str">
        <f>IF(COUNTIF(Mac.DE110.Inp!$C115:$L115,"")=10,"",IF(Mac.DE110.Inp!$G115="","NULL",""""&amp;Mac.DE110.Inp!$G115&amp;""""))</f>
        <v>NULL</v>
      </c>
      <c r="K115" s="6" t="str">
        <f>IF(COUNTIF(Mac.DE110.Inp!$C115:$L115,"")=10,"",IF(Mac.DE110.Inp!$H115="","NULL",""""&amp;Mac.DE110.Inp!$H115&amp;""""))</f>
        <v>"="</v>
      </c>
      <c r="L115" s="6" t="str">
        <f>IF(COUNTIF(Mac.DE110.Inp!$C115:$L115,"")=10,"",IF(Mac.DE110.Inp!$I115="","NULL",""""&amp;Mac.DE110.Inp!$I115&amp;""""))</f>
        <v>NULL</v>
      </c>
      <c r="M115" s="6" t="str">
        <f>IF(COUNTIF(Mac.DE110.Inp!$C115:$L115,"")=10,"",IF(Mac.DE110.Inp!$J115="","NULL",""""&amp;Mac.DE110.Inp!$J115&amp;""""))</f>
        <v>NULL</v>
      </c>
      <c r="N115" s="6">
        <f>IF(COUNTIF(Mac.DE110.Inp!$C115:$L115,"")=10,"",IF(Mac.DE110.Inp!$K115="","NULL",Mac.DE110.Inp!$K115))</f>
        <v>0</v>
      </c>
      <c r="O115" s="6">
        <f>IF(COUNTIF(Mac.DE110.Inp!$C115:$L115,"")=10,"",IF(Mac.DE110.Inp!$L115="","NULL",Mac.DE110.Inp!$L115))</f>
        <v>0</v>
      </c>
      <c r="P115" s="7" t="str">
        <f>IF(COUNTIF(Mac.DE110.Inp!$C115:$L115,"")=10,"","("&amp;aconcat($C115:$O115,",")&amp;"),")</f>
        <v>(NULL,NULL,114,1388,48,72,69,NULL,"=",NULL,NULL,0,0),</v>
      </c>
    </row>
    <row r="116" spans="1:16" x14ac:dyDescent="0.3">
      <c r="A116" s="1" t="s">
        <v>246</v>
      </c>
      <c r="B116" s="1">
        <f t="shared" si="1"/>
        <v>115</v>
      </c>
      <c r="C116" s="6" t="str">
        <f>IF(COUNTIF(Mac.DE110.Inp!$C116:$L116,"")=10,"","NULL")</f>
        <v/>
      </c>
      <c r="D116" s="6" t="str">
        <f>IF(COUNTIF(Mac.DE110.Inp!$C116:$L116,"")=10,"","NULL")</f>
        <v/>
      </c>
      <c r="E116" s="6" t="str">
        <f>IF(COUNTIF(Mac.DE110.Inp!$C116:$L116,"")=10,"",$B116)</f>
        <v/>
      </c>
      <c r="F116" s="6" t="str">
        <f>IF(COUNTIF(Mac.DE110.Inp!$C116:$L116,"")=10,"",IF(Mac.DE110.Inp!$C116="","NULL",Mac.DE110.Inp!$C116))</f>
        <v/>
      </c>
      <c r="G116" s="6" t="str">
        <f>IF(COUNTIF(Mac.DE110.Inp!$C116:$L116,"")=10,"",IF(Mac.DE110.Inp!$D116="","NULL",Mac.DE110.Inp!$D116))</f>
        <v/>
      </c>
      <c r="H116" s="6" t="str">
        <f>IF(COUNTIF(Mac.DE110.Inp!$C116:$L116,"")=10,"",IF(Mac.DE110.Inp!$E116="","NULL",Mac.DE110.Inp!$E116))</f>
        <v/>
      </c>
      <c r="I116" s="6" t="str">
        <f>IF(COUNTIF(Mac.DE110.Inp!$C116:$L116,"")=10,"",IF(Mac.DE110.Inp!$F116="","NULL",Mac.DE110.Inp!$F116))</f>
        <v/>
      </c>
      <c r="J116" s="6" t="str">
        <f>IF(COUNTIF(Mac.DE110.Inp!$C116:$L116,"")=10,"",IF(Mac.DE110.Inp!$G116="","NULL",""""&amp;Mac.DE110.Inp!$G116&amp;""""))</f>
        <v/>
      </c>
      <c r="K116" s="6" t="str">
        <f>IF(COUNTIF(Mac.DE110.Inp!$C116:$L116,"")=10,"",IF(Mac.DE110.Inp!$H116="","NULL",""""&amp;Mac.DE110.Inp!$H116&amp;""""))</f>
        <v/>
      </c>
      <c r="L116" s="6" t="str">
        <f>IF(COUNTIF(Mac.DE110.Inp!$C116:$L116,"")=10,"",IF(Mac.DE110.Inp!$I116="","NULL",""""&amp;Mac.DE110.Inp!$I116&amp;""""))</f>
        <v/>
      </c>
      <c r="M116" s="6" t="str">
        <f>IF(COUNTIF(Mac.DE110.Inp!$C116:$L116,"")=10,"",IF(Mac.DE110.Inp!$J116="","NULL",""""&amp;Mac.DE110.Inp!$J116&amp;""""))</f>
        <v/>
      </c>
      <c r="N116" s="6" t="str">
        <f>IF(COUNTIF(Mac.DE110.Inp!$C116:$L116,"")=10,"",IF(Mac.DE110.Inp!$K116="","NULL",Mac.DE110.Inp!$K116))</f>
        <v/>
      </c>
      <c r="O116" s="6" t="str">
        <f>IF(COUNTIF(Mac.DE110.Inp!$C116:$L116,"")=10,"",IF(Mac.DE110.Inp!$L116="","NULL",Mac.DE110.Inp!$L116))</f>
        <v/>
      </c>
      <c r="P116" s="7" t="str">
        <f>IF(COUNTIF(Mac.DE110.Inp!$C116:$L116,"")=10,"","("&amp;aconcat($C116:$O116,",")&amp;"),")</f>
        <v/>
      </c>
    </row>
    <row r="117" spans="1:16" x14ac:dyDescent="0.3">
      <c r="A117" s="1" t="s">
        <v>246</v>
      </c>
      <c r="B117" s="1">
        <f t="shared" si="1"/>
        <v>116</v>
      </c>
      <c r="C117" s="6" t="str">
        <f>IF(COUNTIF(Mac.DE110.Inp!$C117:$L117,"")=10,"","NULL")</f>
        <v/>
      </c>
      <c r="D117" s="6" t="str">
        <f>IF(COUNTIF(Mac.DE110.Inp!$C117:$L117,"")=10,"","NULL")</f>
        <v/>
      </c>
      <c r="E117" s="6" t="str">
        <f>IF(COUNTIF(Mac.DE110.Inp!$C117:$L117,"")=10,"",$B117)</f>
        <v/>
      </c>
      <c r="F117" s="6" t="str">
        <f>IF(COUNTIF(Mac.DE110.Inp!$C117:$L117,"")=10,"",IF(Mac.DE110.Inp!$C117="","NULL",Mac.DE110.Inp!$C117))</f>
        <v/>
      </c>
      <c r="G117" s="6" t="str">
        <f>IF(COUNTIF(Mac.DE110.Inp!$C117:$L117,"")=10,"",IF(Mac.DE110.Inp!$D117="","NULL",Mac.DE110.Inp!$D117))</f>
        <v/>
      </c>
      <c r="H117" s="6" t="str">
        <f>IF(COUNTIF(Mac.DE110.Inp!$C117:$L117,"")=10,"",IF(Mac.DE110.Inp!$E117="","NULL",Mac.DE110.Inp!$E117))</f>
        <v/>
      </c>
      <c r="I117" s="6" t="str">
        <f>IF(COUNTIF(Mac.DE110.Inp!$C117:$L117,"")=10,"",IF(Mac.DE110.Inp!$F117="","NULL",Mac.DE110.Inp!$F117))</f>
        <v/>
      </c>
      <c r="J117" s="6" t="str">
        <f>IF(COUNTIF(Mac.DE110.Inp!$C117:$L117,"")=10,"",IF(Mac.DE110.Inp!$G117="","NULL",""""&amp;Mac.DE110.Inp!$G117&amp;""""))</f>
        <v/>
      </c>
      <c r="K117" s="6" t="str">
        <f>IF(COUNTIF(Mac.DE110.Inp!$C117:$L117,"")=10,"",IF(Mac.DE110.Inp!$H117="","NULL",""""&amp;Mac.DE110.Inp!$H117&amp;""""))</f>
        <v/>
      </c>
      <c r="L117" s="6" t="str">
        <f>IF(COUNTIF(Mac.DE110.Inp!$C117:$L117,"")=10,"",IF(Mac.DE110.Inp!$I117="","NULL",""""&amp;Mac.DE110.Inp!$I117&amp;""""))</f>
        <v/>
      </c>
      <c r="M117" s="6" t="str">
        <f>IF(COUNTIF(Mac.DE110.Inp!$C117:$L117,"")=10,"",IF(Mac.DE110.Inp!$J117="","NULL",""""&amp;Mac.DE110.Inp!$J117&amp;""""))</f>
        <v/>
      </c>
      <c r="N117" s="6" t="str">
        <f>IF(COUNTIF(Mac.DE110.Inp!$C117:$L117,"")=10,"",IF(Mac.DE110.Inp!$K117="","NULL",Mac.DE110.Inp!$K117))</f>
        <v/>
      </c>
      <c r="O117" s="6" t="str">
        <f>IF(COUNTIF(Mac.DE110.Inp!$C117:$L117,"")=10,"",IF(Mac.DE110.Inp!$L117="","NULL",Mac.DE110.Inp!$L117))</f>
        <v/>
      </c>
      <c r="P117" s="7" t="str">
        <f>IF(COUNTIF(Mac.DE110.Inp!$C117:$L117,"")=10,"","("&amp;aconcat($C117:$O117,",")&amp;"),")</f>
        <v/>
      </c>
    </row>
    <row r="118" spans="1:16" x14ac:dyDescent="0.3">
      <c r="A118" s="1" t="s">
        <v>246</v>
      </c>
      <c r="B118" s="1">
        <f t="shared" si="1"/>
        <v>117</v>
      </c>
      <c r="C118" s="6" t="str">
        <f>IF(COUNTIF(Mac.DE110.Inp!$C118:$L118,"")=10,"","NULL")</f>
        <v/>
      </c>
      <c r="D118" s="6" t="str">
        <f>IF(COUNTIF(Mac.DE110.Inp!$C118:$L118,"")=10,"","NULL")</f>
        <v/>
      </c>
      <c r="E118" s="6" t="str">
        <f>IF(COUNTIF(Mac.DE110.Inp!$C118:$L118,"")=10,"",$B118)</f>
        <v/>
      </c>
      <c r="F118" s="6" t="str">
        <f>IF(COUNTIF(Mac.DE110.Inp!$C118:$L118,"")=10,"",IF(Mac.DE110.Inp!$C118="","NULL",Mac.DE110.Inp!$C118))</f>
        <v/>
      </c>
      <c r="G118" s="6" t="str">
        <f>IF(COUNTIF(Mac.DE110.Inp!$C118:$L118,"")=10,"",IF(Mac.DE110.Inp!$D118="","NULL",Mac.DE110.Inp!$D118))</f>
        <v/>
      </c>
      <c r="H118" s="6" t="str">
        <f>IF(COUNTIF(Mac.DE110.Inp!$C118:$L118,"")=10,"",IF(Mac.DE110.Inp!$E118="","NULL",Mac.DE110.Inp!$E118))</f>
        <v/>
      </c>
      <c r="I118" s="6" t="str">
        <f>IF(COUNTIF(Mac.DE110.Inp!$C118:$L118,"")=10,"",IF(Mac.DE110.Inp!$F118="","NULL",Mac.DE110.Inp!$F118))</f>
        <v/>
      </c>
      <c r="J118" s="6" t="str">
        <f>IF(COUNTIF(Mac.DE110.Inp!$C118:$L118,"")=10,"",IF(Mac.DE110.Inp!$G118="","NULL",""""&amp;Mac.DE110.Inp!$G118&amp;""""))</f>
        <v/>
      </c>
      <c r="K118" s="6" t="str">
        <f>IF(COUNTIF(Mac.DE110.Inp!$C118:$L118,"")=10,"",IF(Mac.DE110.Inp!$H118="","NULL",""""&amp;Mac.DE110.Inp!$H118&amp;""""))</f>
        <v/>
      </c>
      <c r="L118" s="6" t="str">
        <f>IF(COUNTIF(Mac.DE110.Inp!$C118:$L118,"")=10,"",IF(Mac.DE110.Inp!$I118="","NULL",""""&amp;Mac.DE110.Inp!$I118&amp;""""))</f>
        <v/>
      </c>
      <c r="M118" s="6" t="str">
        <f>IF(COUNTIF(Mac.DE110.Inp!$C118:$L118,"")=10,"",IF(Mac.DE110.Inp!$J118="","NULL",""""&amp;Mac.DE110.Inp!$J118&amp;""""))</f>
        <v/>
      </c>
      <c r="N118" s="6" t="str">
        <f>IF(COUNTIF(Mac.DE110.Inp!$C118:$L118,"")=10,"",IF(Mac.DE110.Inp!$K118="","NULL",Mac.DE110.Inp!$K118))</f>
        <v/>
      </c>
      <c r="O118" s="6" t="str">
        <f>IF(COUNTIF(Mac.DE110.Inp!$C118:$L118,"")=10,"",IF(Mac.DE110.Inp!$L118="","NULL",Mac.DE110.Inp!$L118))</f>
        <v/>
      </c>
      <c r="P118" s="7" t="str">
        <f>IF(COUNTIF(Mac.DE110.Inp!$C118:$L118,"")=10,"","("&amp;aconcat($C118:$O118,",")&amp;"),")</f>
        <v/>
      </c>
    </row>
    <row r="119" spans="1:16" x14ac:dyDescent="0.3">
      <c r="A119" s="1" t="s">
        <v>243</v>
      </c>
      <c r="B119" s="1">
        <f t="shared" si="1"/>
        <v>118</v>
      </c>
      <c r="C119" s="6" t="str">
        <f>IF(COUNTIF(Mac.DE110.Inp!$C119:$L119,"")=10,"","NULL")</f>
        <v>NULL</v>
      </c>
      <c r="D119" s="6" t="str">
        <f>IF(COUNTIF(Mac.DE110.Inp!$C119:$L119,"")=10,"","NULL")</f>
        <v>NULL</v>
      </c>
      <c r="E119" s="6">
        <f>IF(COUNTIF(Mac.DE110.Inp!$C119:$L119,"")=10,"",$B119)</f>
        <v>118</v>
      </c>
      <c r="F119" s="6">
        <f>IF(COUNTIF(Mac.DE110.Inp!$C119:$L119,"")=10,"",IF(Mac.DE110.Inp!$C119="","NULL",Mac.DE110.Inp!$C119))</f>
        <v>969</v>
      </c>
      <c r="G119" s="6">
        <f>IF(COUNTIF(Mac.DE110.Inp!$C119:$L119,"")=10,"",IF(Mac.DE110.Inp!$D119="","NULL",Mac.DE110.Inp!$D119))</f>
        <v>0</v>
      </c>
      <c r="H119" s="6">
        <f>IF(COUNTIF(Mac.DE110.Inp!$C119:$L119,"")=10,"",IF(Mac.DE110.Inp!$E119="","NULL",Mac.DE110.Inp!$E119))</f>
        <v>75</v>
      </c>
      <c r="I119" s="6">
        <f>IF(COUNTIF(Mac.DE110.Inp!$C119:$L119,"")=10,"",IF(Mac.DE110.Inp!$F119="","NULL",Mac.DE110.Inp!$F119))</f>
        <v>48</v>
      </c>
      <c r="J119" s="6" t="str">
        <f>IF(COUNTIF(Mac.DE110.Inp!$C119:$L119,"")=10,"",IF(Mac.DE110.Inp!$G119="","NULL",""""&amp;Mac.DE110.Inp!$G119&amp;""""))</f>
        <v>NULL</v>
      </c>
      <c r="K119" s="6" t="str">
        <f>IF(COUNTIF(Mac.DE110.Inp!$C119:$L119,"")=10,"",IF(Mac.DE110.Inp!$H119="","NULL",""""&amp;Mac.DE110.Inp!$H119&amp;""""))</f>
        <v>"Eject"</v>
      </c>
      <c r="L119" s="6" t="str">
        <f>IF(COUNTIF(Mac.DE110.Inp!$C119:$L119,"")=10,"",IF(Mac.DE110.Inp!$I119="","NULL",""""&amp;Mac.DE110.Inp!$I119&amp;""""))</f>
        <v>NULL</v>
      </c>
      <c r="M119" s="6" t="str">
        <f>IF(COUNTIF(Mac.DE110.Inp!$C119:$L119,"")=10,"",IF(Mac.DE110.Inp!$J119="","NULL",""""&amp;Mac.DE110.Inp!$J119&amp;""""))</f>
        <v>NULL</v>
      </c>
      <c r="N119" s="6">
        <f>IF(COUNTIF(Mac.DE110.Inp!$C119:$L119,"")=10,"",IF(Mac.DE110.Inp!$K119="","NULL",Mac.DE110.Inp!$K119))</f>
        <v>0</v>
      </c>
      <c r="O119" s="6">
        <f>IF(COUNTIF(Mac.DE110.Inp!$C119:$L119,"")=10,"",IF(Mac.DE110.Inp!$L119="","NULL",Mac.DE110.Inp!$L119))</f>
        <v>0</v>
      </c>
      <c r="P119" s="7" t="str">
        <f>IF(COUNTIF(Mac.DE110.Inp!$C119:$L119,"")=10,"","("&amp;aconcat($C119:$O119,",")&amp;"),")</f>
        <v>(NULL,NULL,118,969,0,75,48,NULL,"Eject",NULL,NULL,0,0),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PC.DE105.Inp</vt:lpstr>
      <vt:lpstr>PC.DE105.Out</vt:lpstr>
      <vt:lpstr>PC.TU105.Inp</vt:lpstr>
      <vt:lpstr>PC.TU105.Out</vt:lpstr>
      <vt:lpstr>PC.IT105.Inp</vt:lpstr>
      <vt:lpstr>PC.IT105.Out</vt:lpstr>
      <vt:lpstr>Mac.US109.Inp</vt:lpstr>
      <vt:lpstr>Mac.DE110.Inp</vt:lpstr>
      <vt:lpstr>Mac.DE110.Out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Horvath</dc:creator>
  <cp:lastModifiedBy>Michael Horvath</cp:lastModifiedBy>
  <dcterms:created xsi:type="dcterms:W3CDTF">2020-11-11T03:15:19Z</dcterms:created>
  <dcterms:modified xsi:type="dcterms:W3CDTF">2021-05-11T01:18:13Z</dcterms:modified>
</cp:coreProperties>
</file>